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30-Day Calendar" sheetId="2" state="visible" r:id="rId4"/>
    <sheet name="Scripts" sheetId="3" state="visible" r:id="rId5"/>
    <sheet name="First 100 Tracker" sheetId="4" state="visible" r:id="rId6"/>
  </sheets>
  <definedNames>
    <definedName function="false" hidden="true" localSheetId="1" name="_xlnm._FilterDatabase" vbProcedure="false">'30-Day Calendar'!$A$4:$J$34</definedName>
    <definedName function="false" hidden="true" localSheetId="3" name="_xlnm._FilterDatabase" vbProcedure="false">'First 100 Tracker'!$A$4:$M$104</definedName>
    <definedName function="false" hidden="true" localSheetId="2" name="_xlnm._FilterDatabase" vbProcedure="false">Scripts!$A$4:$C$12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<sst xmlns="http://schemas.openxmlformats.org/spreadsheetml/2006/main" count="474" uniqueCount="278">
  <si>
    <t xml:space="preserve">HORO Bootstrapped Launch System</t>
  </si>
  <si>
    <t xml:space="preserve">30-day launch calendar, WhatsApp scripts, and a first-100-customers tracker built for a no-ads MVP.</t>
  </si>
  <si>
    <t xml:space="preserve">Working assumptions</t>
  </si>
  <si>
    <t xml:space="preserve">Launch dashboard</t>
  </si>
  <si>
    <t xml:space="preserve">Category: artist-led wearable-art / identity-expression tees</t>
  </si>
  <si>
    <t xml:space="preserve">Content days complete</t>
  </si>
  <si>
    <t xml:space="preserve">Primary beachhead: Cairo / Giza, 22–32, Instagram-native, already follows Egyptian illustrators and design pages. Buying trigger: thoughtful gift for birthday or graduation.</t>
  </si>
  <si>
    <t xml:space="preserve">Planned content days</t>
  </si>
  <si>
    <t xml:space="preserve">Price architecture: core EGP 599-649; limited artist drops EGP 799-899</t>
  </si>
  <si>
    <t xml:space="preserve">Leads in tracker</t>
  </si>
  <si>
    <t xml:space="preserve">Distribution: IG + FB + WhatsApp = primary order engine; website = trust catalog only (not primary sales channel). Logistics: Bosta / Mylerz. COD + Paymob / Fawry + Valu BNPL.</t>
  </si>
  <si>
    <t xml:space="preserve">Confirmed orders</t>
  </si>
  <si>
    <t xml:space="preserve">Brand mantra: Wear Identity Through Art</t>
  </si>
  <si>
    <t xml:space="preserve">Delivered orders</t>
  </si>
  <si>
    <t xml:space="preserve">Five core values: Meaningful Self-Expression | Artistic Integrity | Credible Quality | Honest Trust | Cultural Relevance with Respect</t>
  </si>
  <si>
    <t xml:space="preserve">Avg order value (EGP)</t>
  </si>
  <si>
    <t xml:space="preserve">Lead-to-order rate</t>
  </si>
  <si>
    <t xml:space="preserve">How to use this workbook</t>
  </si>
  <si>
    <t xml:space="preserve">Delivery success rate</t>
  </si>
  <si>
    <t xml:space="preserve">1) Work from the 30-Day Calendar sheet each day. Change Status as work is completed.</t>
  </si>
  <si>
    <t xml:space="preserve">2) Use the Scripts sheet for WhatsApp, COD confirmation, delivery issues, and sizing messages.</t>
  </si>
  <si>
    <t xml:space="preserve">3) Add every real lead to the First 100 Tracker, even if they do not order.</t>
  </si>
  <si>
    <t xml:space="preserve">4) Watch the Overview sheet for lead-to-order rate, delivery success rate, and average order value.</t>
  </si>
  <si>
    <t xml:space="preserve">5) Do not discount the tee by default; use urgency, gifting add-ons, and artist story instead.</t>
  </si>
  <si>
    <t xml:space="preserve">6) Nudge COD buyers toward prepaid using the Prepaid Incentive script. Valu BNPL is a viable option — offer it before accepting COD.</t>
  </si>
  <si>
    <t xml:space="preserve">Research basis</t>
  </si>
  <si>
    <t xml:space="preserve">Built from the HORO market-research documents uploaded in this chat: wearable-art positioning, gifting priority, artist-collaboration tests, social-commerce/COD reality, and small-batch launch economics.</t>
  </si>
  <si>
    <t xml:space="preserve">What HORO must never become</t>
  </si>
  <si>
    <t xml:space="preserve">✗  A cheap print shop with nicer designs</t>
  </si>
  <si>
    <t xml:space="preserve">✗  A vague "art brand" with no physical proof</t>
  </si>
  <si>
    <t xml:space="preserve">✗  A tourist-style Egyptian heritage brand</t>
  </si>
  <si>
    <t xml:space="preserve">✗  A cold premium label with no warmth or service</t>
  </si>
  <si>
    <t xml:space="preserve">✗  A pretty Instagram page that fails at delivery or COD</t>
  </si>
  <si>
    <t xml:space="preserve">Content Decision Filter — before approving any post, caption, or product: (1) Feels personal? (2) Feels curated? (3) Proud to gift it? (4) Sounds like HORO? (5) Makes sense without explanation?  →  Two or more NO = stop and revise.</t>
  </si>
  <si>
    <t xml:space="preserve">30-Day Organic Launch Calendar</t>
  </si>
  <si>
    <t xml:space="preserve">Goal: get the first 100 orders with artist content, WhatsApp conversion, gifting hooks, and one tight popup loop.</t>
  </si>
  <si>
    <t xml:space="preserve">Day</t>
  </si>
  <si>
    <t xml:space="preserve">Phase</t>
  </si>
  <si>
    <t xml:space="preserve">Goal</t>
  </si>
  <si>
    <t xml:space="preserve">Primary content</t>
  </si>
  <si>
    <t xml:space="preserve">Angle / hook</t>
  </si>
  <si>
    <t xml:space="preserve">Channel</t>
  </si>
  <si>
    <t xml:space="preserve">CTA</t>
  </si>
  <si>
    <t xml:space="preserve">Owner</t>
  </si>
  <si>
    <t xml:space="preserve">Status</t>
  </si>
  <si>
    <t xml:space="preserve">KPI to watch</t>
  </si>
  <si>
    <t xml:space="preserve">Prep</t>
  </si>
  <si>
    <t xml:space="preserve">Open waitlist</t>
  </si>
  <si>
    <t xml:space="preserve">Founder intro Reel + why HORO exists</t>
  </si>
  <si>
    <t xml:space="preserve">Identity + gifting</t>
  </si>
  <si>
    <t xml:space="preserve">IG Reels / TikTok</t>
  </si>
  <si>
    <t xml:space="preserve">Join WhatsApp waitlist</t>
  </si>
  <si>
    <t xml:space="preserve">Founder</t>
  </si>
  <si>
    <t xml:space="preserve">Planned</t>
  </si>
  <si>
    <t xml:space="preserve">Waitlist joins</t>
  </si>
  <si>
    <t xml:space="preserve">Set visual standard</t>
  </si>
  <si>
    <t xml:space="preserve">Print close-up carousel</t>
  </si>
  <si>
    <t xml:space="preserve">Quality proof</t>
  </si>
  <si>
    <t xml:space="preserve">IG</t>
  </si>
  <si>
    <t xml:space="preserve">Save / DM size</t>
  </si>
  <si>
    <t xml:space="preserve">Saves</t>
  </si>
  <si>
    <t xml:space="preserve">Introduce artist 1</t>
  </si>
  <si>
    <t xml:space="preserve">Artist studio clip</t>
  </si>
  <si>
    <t xml:space="preserve">Real collaborator, not stock design</t>
  </si>
  <si>
    <t xml:space="preserve">IG Stories + Reel</t>
  </si>
  <si>
    <t xml:space="preserve">Follow artist + join list</t>
  </si>
  <si>
    <t xml:space="preserve">Artist</t>
  </si>
  <si>
    <t xml:space="preserve">Profile visits</t>
  </si>
  <si>
    <t xml:space="preserve">Introduce artist 2</t>
  </si>
  <si>
    <t xml:space="preserve">Artist hand sketch / screen recording</t>
  </si>
  <si>
    <t xml:space="preserve">Art becoming wearable</t>
  </si>
  <si>
    <t xml:space="preserve">IG / TikTok</t>
  </si>
  <si>
    <t xml:space="preserve">Comment favorite piece</t>
  </si>
  <si>
    <t xml:space="preserve">Comments</t>
  </si>
  <si>
    <t xml:space="preserve">Build trust</t>
  </si>
  <si>
    <t xml:space="preserve">Fabric + fit video</t>
  </si>
  <si>
    <t xml:space="preserve">Gold-substitution frame: inflation is shifting gifting budgets from gold jewelry to premium clothing. 'More personal than gold.'</t>
  </si>
  <si>
    <t xml:space="preserve">IG Reel</t>
  </si>
  <si>
    <t xml:space="preserve">Ask for size help on WhatsApp</t>
  </si>
  <si>
    <t xml:space="preserve">WhatsApp messages</t>
  </si>
  <si>
    <t xml:space="preserve">Gift hook</t>
  </si>
  <si>
    <t xml:space="preserve">Birthday / graduation mock gift post</t>
  </si>
  <si>
    <t xml:space="preserve">More personal than generic tees</t>
  </si>
  <si>
    <t xml:space="preserve">IG / FB</t>
  </si>
  <si>
    <t xml:space="preserve">Send to a friend</t>
  </si>
  <si>
    <t xml:space="preserve">Shares</t>
  </si>
  <si>
    <t xml:space="preserve">Warm audience</t>
  </si>
  <si>
    <t xml:space="preserve">Stories poll: which drop first?</t>
  </si>
  <si>
    <t xml:space="preserve">Audience co-creation without custom printing</t>
  </si>
  <si>
    <t xml:space="preserve">IG Stories</t>
  </si>
  <si>
    <t xml:space="preserve">Vote + join list</t>
  </si>
  <si>
    <t xml:space="preserve">Poll votes</t>
  </si>
  <si>
    <t xml:space="preserve">Launch</t>
  </si>
  <si>
    <t xml:space="preserve">Reveal drop</t>
  </si>
  <si>
    <t xml:space="preserve">Hero Reel with top 3 artworks</t>
  </si>
  <si>
    <t xml:space="preserve">Curated, not crowded</t>
  </si>
  <si>
    <t xml:space="preserve">IG Reel / TikTok</t>
  </si>
  <si>
    <t xml:space="preserve">Shop / DM now</t>
  </si>
  <si>
    <t xml:space="preserve">Site visits</t>
  </si>
  <si>
    <t xml:space="preserve">Push artist credibility</t>
  </si>
  <si>
    <t xml:space="preserve">Artist explains one piece on video</t>
  </si>
  <si>
    <t xml:space="preserve">Why this artwork matters</t>
  </si>
  <si>
    <t xml:space="preserve">Reserve piece</t>
  </si>
  <si>
    <t xml:space="preserve">DMs</t>
  </si>
  <si>
    <t xml:space="preserve">Push trust</t>
  </si>
  <si>
    <t xml:space="preserve">Packaging + artist card video</t>
  </si>
  <si>
    <t xml:space="preserve">Address: price (use 4-element proof), fit, care, COD, return policy in Arabic (legally required). Builds trust with cautious buyers.</t>
  </si>
  <si>
    <t xml:space="preserve">IG Reel / Stories</t>
  </si>
  <si>
    <t xml:space="preserve">Reserve gift order</t>
  </si>
  <si>
    <t xml:space="preserve">Gift inquiries</t>
  </si>
  <si>
    <t xml:space="preserve">Handle objections</t>
  </si>
  <si>
    <t xml:space="preserve">FAQ carousel</t>
  </si>
  <si>
    <t xml:space="preserve">Personal, low-pressure. Offer size guidance. For hesitant buyers, mention Valu installments and Paymob/Fawry as alternatives to COD.</t>
  </si>
  <si>
    <t xml:space="preserve">IG carousel / FB</t>
  </si>
  <si>
    <t xml:space="preserve">Confirm order or try Valu</t>
  </si>
  <si>
    <t xml:space="preserve">FAQ taps</t>
  </si>
  <si>
    <t xml:space="preserve">Convert warm leads</t>
  </si>
  <si>
    <t xml:space="preserve">WhatsApp manual follow-up day</t>
  </si>
  <si>
    <t xml:space="preserve">Personal but low-pressure</t>
  </si>
  <si>
    <t xml:space="preserve">WhatsApp</t>
  </si>
  <si>
    <t xml:space="preserve">Confirm order</t>
  </si>
  <si>
    <t xml:space="preserve">Order confirmations</t>
  </si>
  <si>
    <t xml:space="preserve">Social proof seed</t>
  </si>
  <si>
    <t xml:space="preserve">Friends / micro-creators receive samples</t>
  </si>
  <si>
    <t xml:space="preserve">Real people wearing it</t>
  </si>
  <si>
    <t xml:space="preserve">Reply for size</t>
  </si>
  <si>
    <t xml:space="preserve">Story replies</t>
  </si>
  <si>
    <t xml:space="preserve">Urgency</t>
  </si>
  <si>
    <t xml:space="preserve">First 100 pieces counter</t>
  </si>
  <si>
    <t xml:space="preserve">'More personal than gold.' Gifting spend is shifting from gold jewelry to meaningful premium clothing — HORO sits directly in this budget.</t>
  </si>
  <si>
    <t xml:space="preserve">Order before count drops</t>
  </si>
  <si>
    <t xml:space="preserve">Orders</t>
  </si>
  <si>
    <t xml:space="preserve">Gifting push</t>
  </si>
  <si>
    <t xml:space="preserve">Gift note + artist card post</t>
  </si>
  <si>
    <t xml:space="preserve">Easy thoughtful gift</t>
  </si>
  <si>
    <t xml:space="preserve">Book gift order</t>
  </si>
  <si>
    <t xml:space="preserve">Gift conversions</t>
  </si>
  <si>
    <t xml:space="preserve">Retarget manually</t>
  </si>
  <si>
    <t xml:space="preserve">Founder DMs warm non-buyers</t>
  </si>
  <si>
    <t xml:space="preserve">Not spam: answer fit / shipping doubts</t>
  </si>
  <si>
    <t xml:space="preserve">Instagram / WhatsApp</t>
  </si>
  <si>
    <t xml:space="preserve">Complete order</t>
  </si>
  <si>
    <t xml:space="preserve">Recovered leads</t>
  </si>
  <si>
    <t xml:space="preserve">Proof of wearability</t>
  </si>
  <si>
    <t xml:space="preserve">Outfit styling reel</t>
  </si>
  <si>
    <t xml:space="preserve">Artful but wearable daily</t>
  </si>
  <si>
    <t xml:space="preserve">Save this look</t>
  </si>
  <si>
    <t xml:space="preserve">Artist audience push</t>
  </si>
  <si>
    <t xml:space="preserve">Artist post to own page</t>
  </si>
  <si>
    <t xml:space="preserve">Touch, try, scan QR to WhatsApp (primary order engine) and Instagram. Popup = credibility proof + first direct buyers.</t>
  </si>
  <si>
    <t xml:space="preserve">Artist IG</t>
  </si>
  <si>
    <t xml:space="preserve">RSVP via WhatsApp link</t>
  </si>
  <si>
    <t xml:space="preserve">New followers</t>
  </si>
  <si>
    <t xml:space="preserve">Popup prep</t>
  </si>
  <si>
    <t xml:space="preserve">Announce mini popup / meetup</t>
  </si>
  <si>
    <t xml:space="preserve">Real-world proof. Collect WhatsApp numbers directly — these convert faster than IG followers. Every scan is a warm lead.</t>
  </si>
  <si>
    <t xml:space="preserve">IG Stories / Feed</t>
  </si>
  <si>
    <t xml:space="preserve">Scan QR → WhatsApp order</t>
  </si>
  <si>
    <t xml:space="preserve">RSVPs</t>
  </si>
  <si>
    <t xml:space="preserve">Popup day</t>
  </si>
  <si>
    <t xml:space="preserve">Live stories from popup</t>
  </si>
  <si>
    <t xml:space="preserve">Real-world proof</t>
  </si>
  <si>
    <t xml:space="preserve">Scan QR / order</t>
  </si>
  <si>
    <t xml:space="preserve">Popup orders</t>
  </si>
  <si>
    <t xml:space="preserve">After-popup loop</t>
  </si>
  <si>
    <t xml:space="preserve">Customer reactions montage</t>
  </si>
  <si>
    <t xml:space="preserve">People get it quickly in person</t>
  </si>
  <si>
    <t xml:space="preserve">Message for remaining stock</t>
  </si>
  <si>
    <t xml:space="preserve">Inbounds</t>
  </si>
  <si>
    <t xml:space="preserve">Scale</t>
  </si>
  <si>
    <t xml:space="preserve">Referral push</t>
  </si>
  <si>
    <t xml:space="preserve">Customer repost template</t>
  </si>
  <si>
    <t xml:space="preserve">Invite a friend without discounting</t>
  </si>
  <si>
    <t xml:space="preserve">IG Stories / WhatsApp</t>
  </si>
  <si>
    <t xml:space="preserve">Share your photo</t>
  </si>
  <si>
    <t xml:space="preserve">Tagged posts</t>
  </si>
  <si>
    <t xml:space="preserve">Fit confidence</t>
  </si>
  <si>
    <t xml:space="preserve">Model heights + sizes post</t>
  </si>
  <si>
    <t xml:space="preserve">Realistic service proof. Show dispatch process. Reinforce that paid orders ship first — mention Valu BNPL as easy alternative to COD.</t>
  </si>
  <si>
    <t xml:space="preserve">IG carousel</t>
  </si>
  <si>
    <t xml:space="preserve">Switch to Valu / confirm COD</t>
  </si>
  <si>
    <t xml:space="preserve">Size DMs</t>
  </si>
  <si>
    <t xml:space="preserve">Delivery trust</t>
  </si>
  <si>
    <t xml:space="preserve">Courier / dispatch post</t>
  </si>
  <si>
    <t xml:space="preserve">Realistic service behavior</t>
  </si>
  <si>
    <t xml:space="preserve">Confirm COD now</t>
  </si>
  <si>
    <t xml:space="preserve">Confirmed COD</t>
  </si>
  <si>
    <t xml:space="preserve">Occasion angle</t>
  </si>
  <si>
    <t xml:space="preserve">Graduation / birthday / friend gift content</t>
  </si>
  <si>
    <t xml:space="preserve">Who this is perfect for</t>
  </si>
  <si>
    <t xml:space="preserve">Send to buyer</t>
  </si>
  <si>
    <t xml:space="preserve">Creator loop</t>
  </si>
  <si>
    <t xml:space="preserve">Micro-creator outfit post</t>
  </si>
  <si>
    <t xml:space="preserve">Taste signal without big influencer spend</t>
  </si>
  <si>
    <t xml:space="preserve">IG Reels</t>
  </si>
  <si>
    <t xml:space="preserve">Follow + DM</t>
  </si>
  <si>
    <t xml:space="preserve">Creator</t>
  </si>
  <si>
    <t xml:space="preserve">New leads</t>
  </si>
  <si>
    <t xml:space="preserve">Artist depth</t>
  </si>
  <si>
    <t xml:space="preserve">One artwork story card post</t>
  </si>
  <si>
    <t xml:space="preserve">Small batch, not fake urgency. "First 100 pieces only — never restocked." Reinforce the scarcity mechanic from the launch strategy.</t>
  </si>
  <si>
    <t xml:space="preserve">Pick your artwork</t>
  </si>
  <si>
    <t xml:space="preserve">Carousel completion</t>
  </si>
  <si>
    <t xml:space="preserve">Inventory discipline</t>
  </si>
  <si>
    <t xml:space="preserve">Almost sold out story</t>
  </si>
  <si>
    <t xml:space="preserve">Small batch, not fake urgency</t>
  </si>
  <si>
    <t xml:space="preserve">Claim remaining pieces</t>
  </si>
  <si>
    <t xml:space="preserve">Sell-through</t>
  </si>
  <si>
    <t xml:space="preserve">Collect proof</t>
  </si>
  <si>
    <t xml:space="preserve">Ask for mirror photos / reviews</t>
  </si>
  <si>
    <t xml:space="preserve">UGC creates next wave</t>
  </si>
  <si>
    <t xml:space="preserve">WhatsApp / IG</t>
  </si>
  <si>
    <t xml:space="preserve">Send photo / review</t>
  </si>
  <si>
    <t xml:space="preserve">UGC count</t>
  </si>
  <si>
    <t xml:space="preserve">Decide next drop</t>
  </si>
  <si>
    <t xml:space="preserve">Performance recap + waitlist for drop 2</t>
  </si>
  <si>
    <t xml:space="preserve">Founders share what sold</t>
  </si>
  <si>
    <t xml:space="preserve">IG Stories / close friends</t>
  </si>
  <si>
    <t xml:space="preserve">Join next-drop list</t>
  </si>
  <si>
    <t xml:space="preserve">Next-drop waitlist</t>
  </si>
  <si>
    <t xml:space="preserve">WhatsApp + Service Scripts</t>
  </si>
  <si>
    <t xml:space="preserve">Use these as a starting point. Keep them warm, clear, and firm enough to protect time and margins. Rows shaded in teal are new in V1.4.</t>
  </si>
  <si>
    <t xml:space="preserve">Scenario</t>
  </si>
  <si>
    <t xml:space="preserve">Best use</t>
  </si>
  <si>
    <t xml:space="preserve">Script</t>
  </si>
  <si>
    <t xml:space="preserve">Waitlist reply</t>
  </si>
  <si>
    <t xml:space="preserve">New inbound from IG / Stories</t>
  </si>
  <si>
    <t xml:space="preserve">Hi — thank you for the interest. We are launching in small batches, so I can add you to the first access list here and send size / pricing details before stock goes live.</t>
  </si>
  <si>
    <t xml:space="preserve">Size help</t>
  </si>
  <si>
    <t xml:space="preserve">Customer asks which size to buy</t>
  </si>
  <si>
    <t xml:space="preserve">Happy to help. Send me your height, weight, and the fit you usually prefer, and I’ll suggest the clearest size before you order.</t>
  </si>
  <si>
    <t xml:space="preserve">COD confirmation</t>
  </si>
  <si>
    <t xml:space="preserve">Before dispatch</t>
  </si>
  <si>
    <t xml:space="preserve">Thank you — your order is almost confirmed. Please reply with your full address, nearest landmark, and active phone number today so we can release it to the courier. Unconfirmed COD orders are not dispatched.</t>
  </si>
  <si>
    <t xml:space="preserve">Delayed courier</t>
  </si>
  <si>
    <t xml:space="preserve">Customer chasing shipment</t>
  </si>
  <si>
    <t xml:space="preserve">I’m sorry this is taking longer than expected. I’ve already followed up with the courier, and I’ll send you the clearest delivery update as soon as I get the confirmed timing.</t>
  </si>
  <si>
    <t xml:space="preserve">Sizing complaint</t>
  </si>
  <si>
    <t xml:space="preserve">Customer says fit is wrong</t>
  </si>
  <si>
    <t xml:space="preserve">I’m sorry the fit was not right. Send me your height, weight, the size you received, and one clear photo if possible, and I’ll guide the exchange step by step.</t>
  </si>
  <si>
    <t xml:space="preserve">Gift order</t>
  </si>
  <si>
    <t xml:space="preserve">Customer buying for someone else</t>
  </si>
  <si>
    <t xml:space="preserve">We can prepare it as a gift order with the artist card and note. If you want, send me the occasion and I’ll suggest the strongest piece for that person.</t>
  </si>
  <si>
    <t xml:space="preserve">Soft close after inquiry</t>
  </si>
  <si>
    <t xml:space="preserve">Warm lead did not order</t>
  </si>
  <si>
    <t xml:space="preserve">Just checking in in case you still want the piece. I can help with sizing or show you the remaining artworks before this batch closes.</t>
  </si>
  <si>
    <t xml:space="preserve">Review request</t>
  </si>
  <si>
    <t xml:space="preserve">After delivery</t>
  </si>
  <si>
    <t xml:space="preserve">Hope it arrived safely. If you have a mirror photo or quick feedback, send it here — it really helps us build the next drop well.</t>
  </si>
  <si>
    <t xml:space="preserve">Prepaid incentive</t>
  </si>
  <si>
    <t xml:space="preserve">COD buyer — nudge to paid</t>
  </si>
  <si>
    <t xml:space="preserve">We ship paid orders first and can confirm same-day dispatch if payment is done by 2 PM. Valu installments are available and easy to set up — no upfront full payment needed. Paymob and Fawry are also options. Would you like me to send the payment link instead of COD?</t>
  </si>
  <si>
    <t xml:space="preserve">Price objection</t>
  </si>
  <si>
    <t xml:space="preserve">Customer questions the price</t>
  </si>
  <si>
    <t xml:space="preserve">Every piece is an original illustration by [artist name], printed on [GSM]g cotton with DTF — not a generic iron-on. You are paying for the artwork, the quality of the print, and the story behind it. Want me to send the close-up fabric and print detail so you can see the difference?</t>
  </si>
  <si>
    <t xml:space="preserve">DM cart follow-up</t>
  </si>
  <si>
    <t xml:space="preserve">Lead viewed/asked but did not order</t>
  </si>
  <si>
    <t xml:space="preserve">You were looking at [artwork name] — we still have your size and can hold it for 24 hours if you confirm now. Happy to answer any questions about the print quality, fit, or exchange before you decide.</t>
  </si>
  <si>
    <t xml:space="preserve">First 100 Customers Tracker</t>
  </si>
  <si>
    <t xml:space="preserve">Add every real lead. The goal is to learn which artist, hook, and channel actually convert without ad spend.</t>
  </si>
  <si>
    <t xml:space="preserve">Segment (Identity Wearer / Intentional Gifter / Portrait-Art Buyer)</t>
  </si>
  <si>
    <t xml:space="preserve">Beachhead fit? (Cairo 22-32 / Other)</t>
  </si>
  <si>
    <t xml:space="preserve">Lead ID</t>
  </si>
  <si>
    <t xml:space="preserve">Date added</t>
  </si>
  <si>
    <t xml:space="preserve">Name / handle</t>
  </si>
  <si>
    <t xml:space="preserve">Source channel</t>
  </si>
  <si>
    <t xml:space="preserve">Artist / collection</t>
  </si>
  <si>
    <t xml:space="preserve">Segment</t>
  </si>
  <si>
    <t xml:space="preserve">Stage</t>
  </si>
  <si>
    <t xml:space="preserve">Order value (EGP)</t>
  </si>
  <si>
    <t xml:space="preserve">Payment</t>
  </si>
  <si>
    <t xml:space="preserve">Delivery status</t>
  </si>
  <si>
    <t xml:space="preserve">Follow-up date</t>
  </si>
  <si>
    <t xml:space="preserve">Notes</t>
  </si>
  <si>
    <t xml:space="preserve">Lead</t>
  </si>
  <si>
    <t xml:space="preserve">Tip — Use Source channel and Artist / collection consistently to learn what moves the first 100 orders. For Segment, use: Identity Wearer / Intentional Gifter / Portrait-Art Buyer. Bond goal per segment: Identity Wearer = "This brand gets me" | Gifter = "Thoughtful and safe to gift" | Portrait Buyer = "These people care about art." Priority beachhead: Cairo / Giza, 22–32, Instagram-native.</t>
  </si>
  <si>
    <t xml:space="preserve">Tip</t>
  </si>
  <si>
    <t xml:space="preserve">Use Source channel and Artist / collection consistently. That is how you learn what actually moves the first 100 orders.</t>
  </si>
</sst>
</file>

<file path=xl/styles.xml><?xml version="1.0" encoding="utf-8"?>
<styleSheet xmlns="http://schemas.openxmlformats.org/spreadsheetml/2006/main">
  <numFmts count="4">
    <numFmt numFmtId="164" formatCode="General"/>
    <numFmt numFmtId="165" formatCode="General"/>
    <numFmt numFmtId="166" formatCode="#,##0"/>
    <numFmt numFmtId="167" formatCode="0.0%"/>
  </numFmts>
  <fonts count="24">
    <font>
      <sz val="11"/>
      <color theme="1"/>
      <name val="Calibri"/>
      <family val="2"/>
      <charset val="1"/>
    </font>
    <font>
      <sz val="10"/>
      <name val="Arial"/>
      <family val="0"/>
    </font>
    <font>
      <sz val="10"/>
      <name val="Arial"/>
      <family val="0"/>
    </font>
    <font>
      <sz val="10"/>
      <name val="Arial"/>
      <family val="0"/>
    </font>
    <font>
      <b val="true"/>
      <sz val="18"/>
      <color rgb="FFFFFFFF"/>
      <name val="Cambria"/>
      <family val="0"/>
      <charset val="1"/>
    </font>
    <font>
      <sz val="10"/>
      <color rgb="FFE8E8E8"/>
      <name val="Cambria"/>
      <family val="0"/>
      <charset val="1"/>
    </font>
    <font>
      <b val="true"/>
      <sz val="12"/>
      <color rgb="FFB99243"/>
      <name val="Cambria"/>
      <family val="0"/>
      <charset val="1"/>
    </font>
    <font>
      <sz val="10"/>
      <name val="Cambria"/>
      <family val="0"/>
      <charset val="1"/>
    </font>
    <font>
      <b val="true"/>
      <sz val="11"/>
      <name val="Cambria"/>
      <family val="0"/>
      <charset val="1"/>
    </font>
    <font>
      <sz val="11"/>
      <color rgb="FF000000"/>
      <name val="Cambria"/>
      <family val="0"/>
      <charset val="1"/>
    </font>
    <font>
      <sz val="10"/>
      <color rgb="FF000000"/>
      <name val="Arial"/>
      <family val="0"/>
      <charset val="1"/>
    </font>
    <font>
      <sz val="11"/>
      <color rgb="FF000000"/>
      <name val="Arial"/>
      <family val="0"/>
      <charset val="1"/>
    </font>
    <font>
      <b val="true"/>
      <sz val="12"/>
      <color rgb="FFFFFFFF"/>
      <name val="Arial"/>
      <family val="0"/>
      <charset val="1"/>
    </font>
    <font>
      <sz val="11"/>
      <color rgb="FFA93226"/>
      <name val="Arial"/>
      <family val="0"/>
      <charset val="1"/>
    </font>
    <font>
      <b val="true"/>
      <sz val="11"/>
      <color rgb="FF117A65"/>
      <name val="Arial"/>
      <family val="0"/>
      <charset val="1"/>
    </font>
    <font>
      <b val="true"/>
      <sz val="11"/>
      <color rgb="FFFFFFFF"/>
      <name val="Cambria"/>
      <family val="0"/>
      <charset val="1"/>
    </font>
    <font>
      <sz val="11"/>
      <color rgb="FF0000FF"/>
      <name val="Cambria"/>
      <family val="0"/>
      <charset val="1"/>
    </font>
    <font>
      <sz val="10"/>
      <color rgb="FFB7770D"/>
      <name val="Arial"/>
      <family val="0"/>
      <charset val="1"/>
    </font>
    <font>
      <i val="true"/>
      <sz val="10"/>
      <color rgb="FF000000"/>
      <name val="Arial"/>
      <family val="0"/>
      <charset val="1"/>
    </font>
    <font>
      <b val="true"/>
      <sz val="11"/>
      <color rgb="FF000000"/>
      <name val="Arial"/>
      <family val="0"/>
      <charset val="1"/>
    </font>
    <font>
      <i val="true"/>
      <sz val="11"/>
      <color rgb="FF444444"/>
      <name val="Arial"/>
      <family val="0"/>
      <charset val="1"/>
    </font>
    <font>
      <b val="true"/>
      <sz val="10"/>
      <color rgb="FF000000"/>
      <name val="Arial"/>
      <family val="0"/>
      <charset val="1"/>
    </font>
    <font>
      <sz val="11"/>
      <color rgb="FF7A7A7A"/>
      <name val="Cambria"/>
      <family val="0"/>
      <charset val="1"/>
    </font>
    <font>
      <i val="true"/>
      <sz val="10"/>
      <color rgb="FF444444"/>
      <name val="Arial"/>
      <family val="0"/>
      <charset val="1"/>
    </font>
  </fonts>
  <fills count="8">
    <fill>
      <patternFill patternType="none"/>
    </fill>
    <fill>
      <patternFill patternType="gray125"/>
    </fill>
    <fill>
      <patternFill patternType="solid">
        <fgColor rgb="FF161616"/>
        <bgColor rgb="FF000000"/>
      </patternFill>
    </fill>
    <fill>
      <patternFill patternType="solid">
        <fgColor rgb="FFF7F1E7"/>
        <bgColor rgb="FFFEF5E4"/>
      </patternFill>
    </fill>
    <fill>
      <patternFill patternType="solid">
        <fgColor rgb="FFFBFBFB"/>
        <bgColor rgb="FFFFFFFF"/>
      </patternFill>
    </fill>
    <fill>
      <patternFill patternType="solid">
        <fgColor rgb="FFFDECEA"/>
        <bgColor rgb="FFFDE9E7"/>
      </patternFill>
    </fill>
    <fill>
      <patternFill patternType="solid">
        <fgColor rgb="FFE8F8F5"/>
        <bgColor rgb="FFE9F5E9"/>
      </patternFill>
    </fill>
    <fill>
      <patternFill patternType="solid">
        <fgColor rgb="FFFEF5E4"/>
        <bgColor rgb="FFF7F1E7"/>
      </patternFill>
    </fill>
  </fills>
  <borders count="4">
    <border diagonalUp="false" diagonalDown="false">
      <left/>
      <right/>
      <top/>
      <bottom/>
      <diagonal/>
    </border>
    <border diagonalUp="false" diagonalDown="false">
      <left style="thin">
        <color rgb="FFB99243"/>
      </left>
      <right style="thin">
        <color rgb="FFB99243"/>
      </right>
      <top style="thin">
        <color rgb="FFB99243"/>
      </top>
      <bottom style="thin">
        <color rgb="FFB99243"/>
      </bottom>
      <diagonal/>
    </border>
    <border diagonalUp="false" diagonalDown="false">
      <left style="thin">
        <color rgb="FFDDDDDD"/>
      </left>
      <right style="thin">
        <color rgb="FFDDDDDD"/>
      </right>
      <top style="thin">
        <color rgb="FFDDDDDD"/>
      </top>
      <bottom style="thin">
        <color rgb="FFDDDDDD"/>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left" vertical="bottom" textRotation="0" wrapText="false" indent="0" shrinkToFit="false"/>
      <protection locked="true" hidden="false"/>
    </xf>
    <xf numFmtId="165" fontId="9" fillId="4"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top" textRotation="0" wrapText="true" indent="0" shrinkToFit="false"/>
      <protection locked="true" hidden="false"/>
    </xf>
    <xf numFmtId="166" fontId="9" fillId="4" borderId="1" xfId="0" applyFont="true" applyBorder="true" applyAlignment="true" applyProtection="false">
      <alignment horizontal="right" vertical="bottom" textRotation="0" wrapText="false" indent="0" shrinkToFit="false"/>
      <protection locked="true" hidden="false"/>
    </xf>
    <xf numFmtId="167" fontId="9" fillId="4" borderId="1" xfId="0" applyFont="true" applyBorder="tru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2" fillId="2" borderId="0" xfId="0" applyFont="true" applyBorder="false" applyAlignment="true" applyProtection="false">
      <alignment horizontal="left" vertical="center" textRotation="0" wrapText="true" indent="0" shrinkToFit="false"/>
      <protection locked="true" hidden="false"/>
    </xf>
    <xf numFmtId="164" fontId="13" fillId="5" borderId="0" xfId="0" applyFont="true" applyBorder="false" applyAlignment="true" applyProtection="false">
      <alignment horizontal="left" vertical="top" textRotation="0" wrapText="true" indent="0" shrinkToFit="false"/>
      <protection locked="true" hidden="false"/>
    </xf>
    <xf numFmtId="164" fontId="14" fillId="6" borderId="0" xfId="0" applyFont="true" applyBorder="false" applyAlignment="true" applyProtection="false">
      <alignment horizontal="left" vertical="top" textRotation="0" wrapText="tru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general" vertical="top" textRotation="0" wrapText="true" indent="0" shrinkToFit="false"/>
      <protection locked="true" hidden="false"/>
    </xf>
    <xf numFmtId="164" fontId="17" fillId="7" borderId="2" xfId="0" applyFont="true" applyBorder="true" applyAlignment="true" applyProtection="false">
      <alignment horizontal="general" vertical="top" textRotation="0" wrapText="true" indent="0" shrinkToFit="false"/>
      <protection locked="true" hidden="false"/>
    </xf>
    <xf numFmtId="164" fontId="0" fillId="7" borderId="2" xfId="0" applyFont="true" applyBorder="true" applyAlignment="true" applyProtection="false">
      <alignment horizontal="general" vertical="top" textRotation="0" wrapText="true" indent="0" shrinkToFit="false"/>
      <protection locked="true" hidden="false"/>
    </xf>
    <xf numFmtId="164" fontId="18" fillId="2" borderId="0" xfId="0" applyFont="true" applyBorder="true" applyAlignment="true" applyProtection="false">
      <alignment horizontal="left"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false" indent="0" shrinkToFit="false"/>
      <protection locked="true" hidden="false"/>
    </xf>
    <xf numFmtId="164" fontId="8" fillId="3" borderId="2" xfId="0" applyFont="true" applyBorder="true" applyAlignment="true" applyProtection="false">
      <alignment horizontal="general" vertical="top" textRotation="0" wrapText="true" indent="0" shrinkToFit="false"/>
      <protection locked="true" hidden="false"/>
    </xf>
    <xf numFmtId="164" fontId="19" fillId="3" borderId="3" xfId="0" applyFont="true" applyBorder="true" applyAlignment="true" applyProtection="false">
      <alignment horizontal="left" vertical="top" textRotation="0" wrapText="true" indent="0" shrinkToFit="false"/>
      <protection locked="true" hidden="false"/>
    </xf>
    <xf numFmtId="164" fontId="20" fillId="6" borderId="3" xfId="0" applyFont="true" applyBorder="true" applyAlignment="true" applyProtection="false">
      <alignment horizontal="left" vertical="top" textRotation="0" wrapText="true" indent="0" shrinkToFit="false"/>
      <protection locked="true" hidden="false"/>
    </xf>
    <xf numFmtId="164" fontId="11" fillId="4" borderId="3"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left" vertical="center" textRotation="0" wrapText="true" indent="0" shrinkToFit="false"/>
      <protection locked="true" hidden="false"/>
    </xf>
    <xf numFmtId="164" fontId="21" fillId="3" borderId="3" xfId="0" applyFont="true" applyBorder="true" applyAlignment="true" applyProtection="false">
      <alignment horizontal="left" vertical="center" textRotation="0" wrapText="true" indent="0" shrinkToFit="false"/>
      <protection locked="true" hidden="false"/>
    </xf>
    <xf numFmtId="164" fontId="22"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top" textRotation="0" wrapText="true" indent="0" shrinkToFit="false"/>
      <protection locked="true" hidden="false"/>
    </xf>
    <xf numFmtId="166" fontId="0" fillId="0" borderId="2" xfId="0" applyFont="false" applyBorder="true" applyAlignment="true" applyProtection="false">
      <alignment horizontal="general" vertical="top" textRotation="0" wrapText="true" indent="0" shrinkToFit="false"/>
      <protection locked="true" hidden="false"/>
    </xf>
    <xf numFmtId="164" fontId="23" fillId="6"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61616"/>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EF5E4"/>
          <bgColor rgb="FF000000"/>
        </patternFill>
      </fill>
    </dxf>
    <dxf>
      <fill>
        <patternFill patternType="solid">
          <fgColor rgb="FFB7770D"/>
          <bgColor rgb="FF000000"/>
        </patternFill>
      </fill>
    </dxf>
    <dxf>
      <fill>
        <patternFill patternType="solid">
          <fgColor rgb="FF0000FF"/>
          <bgColor rgb="FF000000"/>
        </patternFill>
      </fill>
    </dxf>
    <dxf>
      <fill>
        <patternFill>
          <bgColor rgb="FFE9F5E9"/>
        </patternFill>
      </fill>
    </dxf>
    <dxf>
      <fill>
        <patternFill>
          <bgColor rgb="FFFFF2CC"/>
        </patternFill>
      </fill>
    </dxf>
    <dxf>
      <fill>
        <patternFill>
          <bgColor rgb="FFFDE9E7"/>
        </patternFill>
      </fill>
    </dxf>
    <dxf>
      <fill>
        <patternFill patternType="solid">
          <fgColor rgb="FFF7F1E7"/>
          <bgColor rgb="FF000000"/>
        </patternFill>
      </fill>
    </dxf>
    <dxf>
      <fill>
        <patternFill patternType="solid">
          <fgColor rgb="FF7A7A7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B7770D"/>
      <rgbColor rgb="FF800080"/>
      <rgbColor rgb="FF117A65"/>
      <rgbColor rgb="FFCCCCCC"/>
      <rgbColor rgb="FF7A7A7A"/>
      <rgbColor rgb="FF9999FF"/>
      <rgbColor rgb="FF993366"/>
      <rgbColor rgb="FFFFF2CC"/>
      <rgbColor rgb="FFE8F8F5"/>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E9F5E9"/>
      <rgbColor rgb="FFE8E8E8"/>
      <rgbColor rgb="FFFEF5E4"/>
      <rgbColor rgb="FFF7F1E7"/>
      <rgbColor rgb="FFFDECEA"/>
      <rgbColor rgb="FFFBFBFB"/>
      <rgbColor rgb="FFFDE9E7"/>
      <rgbColor rgb="FF3366FF"/>
      <rgbColor rgb="FF33CCCC"/>
      <rgbColor rgb="FF99CC00"/>
      <rgbColor rgb="FFFFCC00"/>
      <rgbColor rgb="FFFF9900"/>
      <rgbColor rgb="FFFF6600"/>
      <rgbColor rgb="FF666699"/>
      <rgbColor rgb="FFB99243"/>
      <rgbColor rgb="FF003366"/>
      <rgbColor rgb="FF339966"/>
      <rgbColor rgb="FF161616"/>
      <rgbColor rgb="FF333300"/>
      <rgbColor rgb="FFA93226"/>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2"/>
    <col collapsed="false" customWidth="true" hidden="false" outlineLevel="0" max="4" min="2" style="0" width="4"/>
    <col collapsed="false" customWidth="true" hidden="false" outlineLevel="0" max="5" min="5" style="0" width="28"/>
    <col collapsed="false" customWidth="true" hidden="false" outlineLevel="0" max="6" min="6" style="0" width="16"/>
    <col collapsed="false" customWidth="true" hidden="false" outlineLevel="0" max="7" min="7" style="0" width="4"/>
  </cols>
  <sheetData>
    <row r="1" customFormat="false" ht="19.5" hidden="false" customHeight="true" outlineLevel="0" collapsed="false">
      <c r="A1" s="1" t="s">
        <v>0</v>
      </c>
      <c r="B1" s="1"/>
      <c r="C1" s="1"/>
      <c r="D1" s="1"/>
      <c r="E1" s="1"/>
      <c r="F1" s="1"/>
      <c r="G1" s="1"/>
      <c r="H1" s="1"/>
      <c r="I1" s="1"/>
      <c r="J1" s="1"/>
    </row>
    <row r="2" customFormat="false" ht="19.5" hidden="false" customHeight="true" outlineLevel="0" collapsed="false">
      <c r="A2" s="2" t="s">
        <v>1</v>
      </c>
      <c r="B2" s="2"/>
      <c r="C2" s="2"/>
      <c r="D2" s="2"/>
      <c r="E2" s="2"/>
      <c r="F2" s="2"/>
      <c r="G2" s="2"/>
      <c r="H2" s="2"/>
      <c r="I2" s="2"/>
      <c r="J2" s="2"/>
    </row>
    <row r="3" customFormat="false" ht="19.5" hidden="false" customHeight="true" outlineLevel="0" collapsed="false"/>
    <row r="4" customFormat="false" ht="19.5" hidden="false" customHeight="true" outlineLevel="0" collapsed="false">
      <c r="A4" s="3" t="s">
        <v>2</v>
      </c>
      <c r="F4" s="3" t="s">
        <v>3</v>
      </c>
    </row>
    <row r="5" customFormat="false" ht="19.5" hidden="false" customHeight="true" outlineLevel="0" collapsed="false">
      <c r="A5" s="4" t="s">
        <v>4</v>
      </c>
      <c r="E5" s="5" t="s">
        <v>5</v>
      </c>
      <c r="F5" s="6" t="n">
        <f aca="false">COUNTIF('30-Day Calendar'!I:I,"Done")</f>
        <v>0</v>
      </c>
    </row>
    <row r="6" customFormat="false" ht="19.5" hidden="false" customHeight="true" outlineLevel="0" collapsed="false">
      <c r="A6" s="7" t="s">
        <v>6</v>
      </c>
      <c r="E6" s="5" t="s">
        <v>7</v>
      </c>
      <c r="F6" s="6" t="n">
        <f aca="false">COUNTA('30-Day Calendar'!A:A)-1</f>
        <v>32</v>
      </c>
    </row>
    <row r="7" customFormat="false" ht="19.5" hidden="false" customHeight="true" outlineLevel="0" collapsed="false">
      <c r="A7" s="4" t="s">
        <v>8</v>
      </c>
      <c r="E7" s="5" t="s">
        <v>9</v>
      </c>
      <c r="F7" s="6" t="n">
        <f aca="false">COUNTA('First 100 Tracker'!A:A)-1</f>
        <v>104</v>
      </c>
    </row>
    <row r="8" customFormat="false" ht="19.5" hidden="false" customHeight="true" outlineLevel="0" collapsed="false">
      <c r="A8" s="7" t="s">
        <v>10</v>
      </c>
      <c r="E8" s="5" t="s">
        <v>11</v>
      </c>
      <c r="F8" s="6" t="n">
        <f aca="false">COUNTIF('First 100 Tracker'!G:G,"Ordered")</f>
        <v>0</v>
      </c>
    </row>
    <row r="9" customFormat="false" ht="19.5" hidden="false" customHeight="true" outlineLevel="0" collapsed="false">
      <c r="A9" s="7" t="s">
        <v>12</v>
      </c>
      <c r="E9" s="5" t="s">
        <v>13</v>
      </c>
      <c r="F9" s="6" t="n">
        <f aca="false">COUNTIF('First 100 Tracker'!K:K,"Delivered")</f>
        <v>0</v>
      </c>
    </row>
    <row r="10" customFormat="false" ht="19.5" hidden="false" customHeight="true" outlineLevel="0" collapsed="false">
      <c r="A10" s="8" t="s">
        <v>14</v>
      </c>
      <c r="E10" s="5" t="s">
        <v>15</v>
      </c>
      <c r="F10" s="9" t="n">
        <f aca="false">IFERROR(AVERAGEIF('First 100 Tracker'!H:H,"&gt;0",'First 100 Tracker'!H:H),0)</f>
        <v>0</v>
      </c>
    </row>
    <row r="11" customFormat="false" ht="19.5" hidden="false" customHeight="true" outlineLevel="0" collapsed="false">
      <c r="E11" s="5" t="s">
        <v>16</v>
      </c>
      <c r="F11" s="10" t="n">
        <f aca="false">IFERROR(F7/F6,0)</f>
        <v>3.25</v>
      </c>
    </row>
    <row r="12" customFormat="false" ht="19.5" hidden="false" customHeight="true" outlineLevel="0" collapsed="false">
      <c r="A12" s="3" t="s">
        <v>17</v>
      </c>
      <c r="E12" s="5" t="s">
        <v>18</v>
      </c>
      <c r="F12" s="10" t="n">
        <f aca="false">IFERROR(F8/F7,0)</f>
        <v>0</v>
      </c>
    </row>
    <row r="13" customFormat="false" ht="19.5" hidden="false" customHeight="true" outlineLevel="0" collapsed="false">
      <c r="A13" s="0" t="s">
        <v>19</v>
      </c>
    </row>
    <row r="14" customFormat="false" ht="19.5" hidden="false" customHeight="true" outlineLevel="0" collapsed="false">
      <c r="A14" s="0" t="s">
        <v>20</v>
      </c>
    </row>
    <row r="15" customFormat="false" ht="19.5" hidden="false" customHeight="true" outlineLevel="0" collapsed="false">
      <c r="A15" s="0" t="s">
        <v>21</v>
      </c>
    </row>
    <row r="16" customFormat="false" ht="19.5" hidden="false" customHeight="true" outlineLevel="0" collapsed="false">
      <c r="A16" s="0" t="s">
        <v>22</v>
      </c>
    </row>
    <row r="17" customFormat="false" ht="19.5" hidden="false" customHeight="true" outlineLevel="0" collapsed="false">
      <c r="A17" s="0" t="s">
        <v>23</v>
      </c>
    </row>
    <row r="18" customFormat="false" ht="19.5" hidden="false" customHeight="true" outlineLevel="0" collapsed="false">
      <c r="A18" s="11" t="s">
        <v>24</v>
      </c>
    </row>
    <row r="19" customFormat="false" ht="19.5" hidden="false" customHeight="true" outlineLevel="0" collapsed="false"/>
    <row r="20" customFormat="false" ht="19.5" hidden="false" customHeight="true" outlineLevel="0" collapsed="false">
      <c r="A20" s="3" t="s">
        <v>25</v>
      </c>
    </row>
    <row r="21" customFormat="false" ht="19.5" hidden="false" customHeight="true" outlineLevel="0" collapsed="false">
      <c r="A21" s="12" t="s">
        <v>26</v>
      </c>
    </row>
    <row r="22" customFormat="false" ht="19.5" hidden="false" customHeight="true" outlineLevel="0" collapsed="false"/>
    <row r="23" customFormat="false" ht="19.5" hidden="false" customHeight="true" outlineLevel="0" collapsed="false">
      <c r="A23" s="13" t="s">
        <v>27</v>
      </c>
    </row>
    <row r="24" customFormat="false" ht="19.5" hidden="false" customHeight="true" outlineLevel="0" collapsed="false">
      <c r="A24" s="14" t="s">
        <v>28</v>
      </c>
    </row>
    <row r="25" customFormat="false" ht="15" hidden="false" customHeight="false" outlineLevel="0" collapsed="false">
      <c r="A25" s="14" t="s">
        <v>29</v>
      </c>
    </row>
    <row r="26" customFormat="false" ht="15" hidden="false" customHeight="false" outlineLevel="0" collapsed="false">
      <c r="A26" s="14" t="s">
        <v>30</v>
      </c>
    </row>
    <row r="27" customFormat="false" ht="15" hidden="false" customHeight="false" outlineLevel="0" collapsed="false">
      <c r="A27" s="14" t="s">
        <v>31</v>
      </c>
    </row>
    <row r="28" customFormat="false" ht="15" hidden="false" customHeight="false" outlineLevel="0" collapsed="false">
      <c r="A28" s="14" t="s">
        <v>32</v>
      </c>
    </row>
    <row r="30" customFormat="false" ht="52.2" hidden="false" customHeight="false" outlineLevel="0" collapsed="false">
      <c r="A30" s="15" t="s">
        <v>33</v>
      </c>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1"/>
    <col collapsed="false" customWidth="true" hidden="false" outlineLevel="0" max="3" min="3" style="0" width="16"/>
    <col collapsed="false" customWidth="true" hidden="false" outlineLevel="0" max="5" min="4" style="0" width="28"/>
    <col collapsed="false" customWidth="true" hidden="false" outlineLevel="0" max="6" min="6" style="0" width="16"/>
    <col collapsed="false" customWidth="true" hidden="false" outlineLevel="0" max="7" min="7" style="0" width="18"/>
    <col collapsed="false" customWidth="true" hidden="false" outlineLevel="0" max="9" min="8" style="0" width="12"/>
    <col collapsed="false" customWidth="true" hidden="false" outlineLevel="0" max="10" min="10" style="0" width="16"/>
  </cols>
  <sheetData>
    <row r="1" customFormat="false" ht="27.75" hidden="false" customHeight="true" outlineLevel="0" collapsed="false">
      <c r="A1" s="1" t="s">
        <v>34</v>
      </c>
      <c r="B1" s="1"/>
      <c r="C1" s="1"/>
      <c r="D1" s="1"/>
      <c r="E1" s="1"/>
      <c r="F1" s="1"/>
      <c r="G1" s="1"/>
      <c r="H1" s="1"/>
      <c r="I1" s="1"/>
      <c r="J1" s="1"/>
    </row>
    <row r="2" customFormat="false" ht="21.75" hidden="false" customHeight="true" outlineLevel="0" collapsed="false">
      <c r="A2" s="2" t="s">
        <v>35</v>
      </c>
      <c r="B2" s="2"/>
      <c r="C2" s="2"/>
      <c r="D2" s="2"/>
      <c r="E2" s="2"/>
      <c r="F2" s="2"/>
      <c r="G2" s="2"/>
      <c r="H2" s="2"/>
      <c r="I2" s="2"/>
      <c r="J2" s="2"/>
    </row>
    <row r="4" customFormat="false" ht="15" hidden="false" customHeight="false" outlineLevel="0" collapsed="false">
      <c r="A4" s="16" t="s">
        <v>36</v>
      </c>
      <c r="B4" s="16" t="s">
        <v>37</v>
      </c>
      <c r="C4" s="16" t="s">
        <v>38</v>
      </c>
      <c r="D4" s="16" t="s">
        <v>39</v>
      </c>
      <c r="E4" s="16" t="s">
        <v>40</v>
      </c>
      <c r="F4" s="16" t="s">
        <v>41</v>
      </c>
      <c r="G4" s="16" t="s">
        <v>42</v>
      </c>
      <c r="H4" s="16" t="s">
        <v>43</v>
      </c>
      <c r="I4" s="16" t="s">
        <v>44</v>
      </c>
      <c r="J4" s="16" t="s">
        <v>45</v>
      </c>
    </row>
    <row r="5" customFormat="false" ht="36" hidden="false" customHeight="true" outlineLevel="0" collapsed="false">
      <c r="A5" s="17" t="n">
        <v>1</v>
      </c>
      <c r="B5" s="18" t="s">
        <v>46</v>
      </c>
      <c r="C5" s="18" t="s">
        <v>47</v>
      </c>
      <c r="D5" s="18" t="s">
        <v>48</v>
      </c>
      <c r="E5" s="18" t="s">
        <v>49</v>
      </c>
      <c r="F5" s="18" t="s">
        <v>50</v>
      </c>
      <c r="G5" s="18" t="s">
        <v>51</v>
      </c>
      <c r="H5" s="18" t="s">
        <v>52</v>
      </c>
      <c r="I5" s="19" t="s">
        <v>53</v>
      </c>
      <c r="J5" s="18" t="s">
        <v>54</v>
      </c>
    </row>
    <row r="6" customFormat="false" ht="36" hidden="false" customHeight="true" outlineLevel="0" collapsed="false">
      <c r="A6" s="17" t="n">
        <v>2</v>
      </c>
      <c r="B6" s="18" t="s">
        <v>46</v>
      </c>
      <c r="C6" s="18" t="s">
        <v>55</v>
      </c>
      <c r="D6" s="18" t="s">
        <v>56</v>
      </c>
      <c r="E6" s="18" t="s">
        <v>57</v>
      </c>
      <c r="F6" s="18" t="s">
        <v>58</v>
      </c>
      <c r="G6" s="18" t="s">
        <v>59</v>
      </c>
      <c r="H6" s="18" t="s">
        <v>52</v>
      </c>
      <c r="I6" s="19" t="s">
        <v>53</v>
      </c>
      <c r="J6" s="18" t="s">
        <v>60</v>
      </c>
    </row>
    <row r="7" customFormat="false" ht="36" hidden="false" customHeight="true" outlineLevel="0" collapsed="false">
      <c r="A7" s="17" t="n">
        <v>3</v>
      </c>
      <c r="B7" s="18" t="s">
        <v>46</v>
      </c>
      <c r="C7" s="18" t="s">
        <v>61</v>
      </c>
      <c r="D7" s="18" t="s">
        <v>62</v>
      </c>
      <c r="E7" s="18" t="s">
        <v>63</v>
      </c>
      <c r="F7" s="18" t="s">
        <v>64</v>
      </c>
      <c r="G7" s="18" t="s">
        <v>65</v>
      </c>
      <c r="H7" s="18" t="s">
        <v>66</v>
      </c>
      <c r="I7" s="19" t="s">
        <v>53</v>
      </c>
      <c r="J7" s="18" t="s">
        <v>67</v>
      </c>
    </row>
    <row r="8" customFormat="false" ht="36" hidden="false" customHeight="true" outlineLevel="0" collapsed="false">
      <c r="A8" s="17" t="n">
        <v>4</v>
      </c>
      <c r="B8" s="18" t="s">
        <v>46</v>
      </c>
      <c r="C8" s="18" t="s">
        <v>68</v>
      </c>
      <c r="D8" s="18" t="s">
        <v>69</v>
      </c>
      <c r="E8" s="18" t="s">
        <v>70</v>
      </c>
      <c r="F8" s="18" t="s">
        <v>71</v>
      </c>
      <c r="G8" s="18" t="s">
        <v>72</v>
      </c>
      <c r="H8" s="18" t="s">
        <v>66</v>
      </c>
      <c r="I8" s="19" t="s">
        <v>53</v>
      </c>
      <c r="J8" s="18" t="s">
        <v>73</v>
      </c>
    </row>
    <row r="9" customFormat="false" ht="36" hidden="false" customHeight="true" outlineLevel="0" collapsed="false">
      <c r="A9" s="17" t="n">
        <v>5</v>
      </c>
      <c r="B9" s="18" t="s">
        <v>46</v>
      </c>
      <c r="C9" s="18" t="s">
        <v>74</v>
      </c>
      <c r="D9" s="18" t="s">
        <v>75</v>
      </c>
      <c r="E9" s="20" t="s">
        <v>76</v>
      </c>
      <c r="F9" s="18" t="s">
        <v>77</v>
      </c>
      <c r="G9" s="18" t="s">
        <v>78</v>
      </c>
      <c r="H9" s="18" t="s">
        <v>52</v>
      </c>
      <c r="I9" s="19" t="s">
        <v>53</v>
      </c>
      <c r="J9" s="18" t="s">
        <v>79</v>
      </c>
    </row>
    <row r="10" customFormat="false" ht="36" hidden="false" customHeight="true" outlineLevel="0" collapsed="false">
      <c r="A10" s="17" t="n">
        <v>6</v>
      </c>
      <c r="B10" s="18" t="s">
        <v>46</v>
      </c>
      <c r="C10" s="18" t="s">
        <v>80</v>
      </c>
      <c r="D10" s="18" t="s">
        <v>81</v>
      </c>
      <c r="E10" s="18" t="s">
        <v>82</v>
      </c>
      <c r="F10" s="18" t="s">
        <v>83</v>
      </c>
      <c r="G10" s="18" t="s">
        <v>84</v>
      </c>
      <c r="H10" s="18" t="s">
        <v>52</v>
      </c>
      <c r="I10" s="19" t="s">
        <v>53</v>
      </c>
      <c r="J10" s="18" t="s">
        <v>85</v>
      </c>
    </row>
    <row r="11" customFormat="false" ht="36" hidden="false" customHeight="true" outlineLevel="0" collapsed="false">
      <c r="A11" s="17" t="n">
        <v>7</v>
      </c>
      <c r="B11" s="18" t="s">
        <v>46</v>
      </c>
      <c r="C11" s="18" t="s">
        <v>86</v>
      </c>
      <c r="D11" s="18" t="s">
        <v>87</v>
      </c>
      <c r="E11" s="18" t="s">
        <v>88</v>
      </c>
      <c r="F11" s="18" t="s">
        <v>89</v>
      </c>
      <c r="G11" s="18" t="s">
        <v>90</v>
      </c>
      <c r="H11" s="18" t="s">
        <v>52</v>
      </c>
      <c r="I11" s="19" t="s">
        <v>53</v>
      </c>
      <c r="J11" s="18" t="s">
        <v>91</v>
      </c>
    </row>
    <row r="12" customFormat="false" ht="36" hidden="false" customHeight="true" outlineLevel="0" collapsed="false">
      <c r="A12" s="17" t="n">
        <v>8</v>
      </c>
      <c r="B12" s="18" t="s">
        <v>92</v>
      </c>
      <c r="C12" s="18" t="s">
        <v>93</v>
      </c>
      <c r="D12" s="18" t="s">
        <v>94</v>
      </c>
      <c r="E12" s="18" t="s">
        <v>95</v>
      </c>
      <c r="F12" s="18" t="s">
        <v>96</v>
      </c>
      <c r="G12" s="18" t="s">
        <v>97</v>
      </c>
      <c r="H12" s="18" t="s">
        <v>52</v>
      </c>
      <c r="I12" s="19" t="s">
        <v>53</v>
      </c>
      <c r="J12" s="18" t="s">
        <v>98</v>
      </c>
    </row>
    <row r="13" customFormat="false" ht="36" hidden="false" customHeight="true" outlineLevel="0" collapsed="false">
      <c r="A13" s="17" t="n">
        <v>9</v>
      </c>
      <c r="B13" s="18" t="s">
        <v>92</v>
      </c>
      <c r="C13" s="18" t="s">
        <v>99</v>
      </c>
      <c r="D13" s="18" t="s">
        <v>100</v>
      </c>
      <c r="E13" s="18" t="s">
        <v>101</v>
      </c>
      <c r="F13" s="18" t="s">
        <v>77</v>
      </c>
      <c r="G13" s="18" t="s">
        <v>102</v>
      </c>
      <c r="H13" s="18" t="s">
        <v>66</v>
      </c>
      <c r="I13" s="19" t="s">
        <v>53</v>
      </c>
      <c r="J13" s="18" t="s">
        <v>103</v>
      </c>
    </row>
    <row r="14" customFormat="false" ht="36" hidden="false" customHeight="true" outlineLevel="0" collapsed="false">
      <c r="A14" s="17" t="n">
        <v>10</v>
      </c>
      <c r="B14" s="18" t="s">
        <v>92</v>
      </c>
      <c r="C14" s="18" t="s">
        <v>104</v>
      </c>
      <c r="D14" s="18" t="s">
        <v>105</v>
      </c>
      <c r="E14" s="20" t="s">
        <v>106</v>
      </c>
      <c r="F14" s="18" t="s">
        <v>107</v>
      </c>
      <c r="G14" s="18" t="s">
        <v>108</v>
      </c>
      <c r="H14" s="18" t="s">
        <v>52</v>
      </c>
      <c r="I14" s="19" t="s">
        <v>53</v>
      </c>
      <c r="J14" s="18" t="s">
        <v>109</v>
      </c>
    </row>
    <row r="15" customFormat="false" ht="36" hidden="false" customHeight="true" outlineLevel="0" collapsed="false">
      <c r="A15" s="17" t="n">
        <v>11</v>
      </c>
      <c r="B15" s="18" t="s">
        <v>92</v>
      </c>
      <c r="C15" s="18" t="s">
        <v>110</v>
      </c>
      <c r="D15" s="18" t="s">
        <v>111</v>
      </c>
      <c r="E15" s="20" t="s">
        <v>112</v>
      </c>
      <c r="F15" s="18" t="s">
        <v>113</v>
      </c>
      <c r="G15" s="21" t="s">
        <v>114</v>
      </c>
      <c r="H15" s="18" t="s">
        <v>52</v>
      </c>
      <c r="I15" s="19" t="s">
        <v>53</v>
      </c>
      <c r="J15" s="18" t="s">
        <v>115</v>
      </c>
    </row>
    <row r="16" customFormat="false" ht="36" hidden="false" customHeight="true" outlineLevel="0" collapsed="false">
      <c r="A16" s="17" t="n">
        <v>12</v>
      </c>
      <c r="B16" s="18" t="s">
        <v>92</v>
      </c>
      <c r="C16" s="18" t="s">
        <v>116</v>
      </c>
      <c r="D16" s="18" t="s">
        <v>117</v>
      </c>
      <c r="E16" s="18" t="s">
        <v>118</v>
      </c>
      <c r="F16" s="18" t="s">
        <v>119</v>
      </c>
      <c r="G16" s="18" t="s">
        <v>120</v>
      </c>
      <c r="H16" s="18" t="s">
        <v>52</v>
      </c>
      <c r="I16" s="19" t="s">
        <v>53</v>
      </c>
      <c r="J16" s="18" t="s">
        <v>121</v>
      </c>
    </row>
    <row r="17" customFormat="false" ht="36" hidden="false" customHeight="true" outlineLevel="0" collapsed="false">
      <c r="A17" s="17" t="n">
        <v>13</v>
      </c>
      <c r="B17" s="18" t="s">
        <v>92</v>
      </c>
      <c r="C17" s="18" t="s">
        <v>122</v>
      </c>
      <c r="D17" s="18" t="s">
        <v>123</v>
      </c>
      <c r="E17" s="18" t="s">
        <v>124</v>
      </c>
      <c r="F17" s="18" t="s">
        <v>89</v>
      </c>
      <c r="G17" s="18" t="s">
        <v>125</v>
      </c>
      <c r="H17" s="18" t="s">
        <v>52</v>
      </c>
      <c r="I17" s="19" t="s">
        <v>53</v>
      </c>
      <c r="J17" s="18" t="s">
        <v>126</v>
      </c>
    </row>
    <row r="18" customFormat="false" ht="36" hidden="false" customHeight="true" outlineLevel="0" collapsed="false">
      <c r="A18" s="17" t="n">
        <v>14</v>
      </c>
      <c r="B18" s="18" t="s">
        <v>92</v>
      </c>
      <c r="C18" s="18" t="s">
        <v>127</v>
      </c>
      <c r="D18" s="18" t="s">
        <v>128</v>
      </c>
      <c r="E18" s="20" t="s">
        <v>129</v>
      </c>
      <c r="F18" s="18" t="s">
        <v>89</v>
      </c>
      <c r="G18" s="18" t="s">
        <v>130</v>
      </c>
      <c r="H18" s="18" t="s">
        <v>52</v>
      </c>
      <c r="I18" s="19" t="s">
        <v>53</v>
      </c>
      <c r="J18" s="18" t="s">
        <v>131</v>
      </c>
    </row>
    <row r="19" customFormat="false" ht="36" hidden="false" customHeight="true" outlineLevel="0" collapsed="false">
      <c r="A19" s="17" t="n">
        <v>15</v>
      </c>
      <c r="B19" s="18" t="s">
        <v>92</v>
      </c>
      <c r="C19" s="18" t="s">
        <v>132</v>
      </c>
      <c r="D19" s="18" t="s">
        <v>133</v>
      </c>
      <c r="E19" s="18" t="s">
        <v>134</v>
      </c>
      <c r="F19" s="18" t="s">
        <v>83</v>
      </c>
      <c r="G19" s="18" t="s">
        <v>135</v>
      </c>
      <c r="H19" s="18" t="s">
        <v>52</v>
      </c>
      <c r="I19" s="19" t="s">
        <v>53</v>
      </c>
      <c r="J19" s="18" t="s">
        <v>136</v>
      </c>
    </row>
    <row r="20" customFormat="false" ht="36" hidden="false" customHeight="true" outlineLevel="0" collapsed="false">
      <c r="A20" s="17" t="n">
        <v>16</v>
      </c>
      <c r="B20" s="18" t="s">
        <v>92</v>
      </c>
      <c r="C20" s="18" t="s">
        <v>137</v>
      </c>
      <c r="D20" s="18" t="s">
        <v>138</v>
      </c>
      <c r="E20" s="18" t="s">
        <v>139</v>
      </c>
      <c r="F20" s="18" t="s">
        <v>140</v>
      </c>
      <c r="G20" s="18" t="s">
        <v>141</v>
      </c>
      <c r="H20" s="18" t="s">
        <v>52</v>
      </c>
      <c r="I20" s="19" t="s">
        <v>53</v>
      </c>
      <c r="J20" s="18" t="s">
        <v>142</v>
      </c>
    </row>
    <row r="21" customFormat="false" ht="36" hidden="false" customHeight="true" outlineLevel="0" collapsed="false">
      <c r="A21" s="17" t="n">
        <v>17</v>
      </c>
      <c r="B21" s="18" t="s">
        <v>92</v>
      </c>
      <c r="C21" s="18" t="s">
        <v>143</v>
      </c>
      <c r="D21" s="18" t="s">
        <v>144</v>
      </c>
      <c r="E21" s="18" t="s">
        <v>145</v>
      </c>
      <c r="F21" s="18" t="s">
        <v>96</v>
      </c>
      <c r="G21" s="18" t="s">
        <v>146</v>
      </c>
      <c r="H21" s="18" t="s">
        <v>52</v>
      </c>
      <c r="I21" s="19" t="s">
        <v>53</v>
      </c>
      <c r="J21" s="18" t="s">
        <v>60</v>
      </c>
    </row>
    <row r="22" customFormat="false" ht="36" hidden="false" customHeight="true" outlineLevel="0" collapsed="false">
      <c r="A22" s="17" t="n">
        <v>18</v>
      </c>
      <c r="B22" s="18" t="s">
        <v>92</v>
      </c>
      <c r="C22" s="18" t="s">
        <v>147</v>
      </c>
      <c r="D22" s="18" t="s">
        <v>148</v>
      </c>
      <c r="E22" s="20" t="s">
        <v>149</v>
      </c>
      <c r="F22" s="18" t="s">
        <v>150</v>
      </c>
      <c r="G22" s="21" t="s">
        <v>151</v>
      </c>
      <c r="H22" s="18" t="s">
        <v>66</v>
      </c>
      <c r="I22" s="19" t="s">
        <v>53</v>
      </c>
      <c r="J22" s="18" t="s">
        <v>152</v>
      </c>
    </row>
    <row r="23" customFormat="false" ht="36" hidden="false" customHeight="true" outlineLevel="0" collapsed="false">
      <c r="A23" s="17" t="n">
        <v>19</v>
      </c>
      <c r="B23" s="18" t="s">
        <v>92</v>
      </c>
      <c r="C23" s="18" t="s">
        <v>153</v>
      </c>
      <c r="D23" s="18" t="s">
        <v>154</v>
      </c>
      <c r="E23" s="20" t="s">
        <v>155</v>
      </c>
      <c r="F23" s="18" t="s">
        <v>156</v>
      </c>
      <c r="G23" s="21" t="s">
        <v>157</v>
      </c>
      <c r="H23" s="18" t="s">
        <v>52</v>
      </c>
      <c r="I23" s="19" t="s">
        <v>53</v>
      </c>
      <c r="J23" s="18" t="s">
        <v>158</v>
      </c>
    </row>
    <row r="24" customFormat="false" ht="36" hidden="false" customHeight="true" outlineLevel="0" collapsed="false">
      <c r="A24" s="17" t="n">
        <v>20</v>
      </c>
      <c r="B24" s="18" t="s">
        <v>92</v>
      </c>
      <c r="C24" s="18" t="s">
        <v>159</v>
      </c>
      <c r="D24" s="18" t="s">
        <v>160</v>
      </c>
      <c r="E24" s="18" t="s">
        <v>161</v>
      </c>
      <c r="F24" s="18" t="s">
        <v>89</v>
      </c>
      <c r="G24" s="18" t="s">
        <v>162</v>
      </c>
      <c r="H24" s="18" t="s">
        <v>52</v>
      </c>
      <c r="I24" s="19" t="s">
        <v>53</v>
      </c>
      <c r="J24" s="18" t="s">
        <v>163</v>
      </c>
    </row>
    <row r="25" customFormat="false" ht="36" hidden="false" customHeight="true" outlineLevel="0" collapsed="false">
      <c r="A25" s="17" t="n">
        <v>21</v>
      </c>
      <c r="B25" s="18" t="s">
        <v>92</v>
      </c>
      <c r="C25" s="18" t="s">
        <v>164</v>
      </c>
      <c r="D25" s="18" t="s">
        <v>165</v>
      </c>
      <c r="E25" s="18" t="s">
        <v>166</v>
      </c>
      <c r="F25" s="18" t="s">
        <v>77</v>
      </c>
      <c r="G25" s="18" t="s">
        <v>167</v>
      </c>
      <c r="H25" s="18" t="s">
        <v>52</v>
      </c>
      <c r="I25" s="19" t="s">
        <v>53</v>
      </c>
      <c r="J25" s="18" t="s">
        <v>168</v>
      </c>
    </row>
    <row r="26" customFormat="false" ht="36" hidden="false" customHeight="true" outlineLevel="0" collapsed="false">
      <c r="A26" s="17" t="n">
        <v>22</v>
      </c>
      <c r="B26" s="18" t="s">
        <v>169</v>
      </c>
      <c r="C26" s="18" t="s">
        <v>170</v>
      </c>
      <c r="D26" s="18" t="s">
        <v>171</v>
      </c>
      <c r="E26" s="18" t="s">
        <v>172</v>
      </c>
      <c r="F26" s="18" t="s">
        <v>173</v>
      </c>
      <c r="G26" s="18" t="s">
        <v>174</v>
      </c>
      <c r="H26" s="18" t="s">
        <v>52</v>
      </c>
      <c r="I26" s="19" t="s">
        <v>53</v>
      </c>
      <c r="J26" s="18" t="s">
        <v>175</v>
      </c>
    </row>
    <row r="27" customFormat="false" ht="36" hidden="false" customHeight="true" outlineLevel="0" collapsed="false">
      <c r="A27" s="17" t="n">
        <v>23</v>
      </c>
      <c r="B27" s="18" t="s">
        <v>169</v>
      </c>
      <c r="C27" s="18" t="s">
        <v>176</v>
      </c>
      <c r="D27" s="18" t="s">
        <v>177</v>
      </c>
      <c r="E27" s="20" t="s">
        <v>178</v>
      </c>
      <c r="F27" s="18" t="s">
        <v>179</v>
      </c>
      <c r="G27" s="21" t="s">
        <v>180</v>
      </c>
      <c r="H27" s="18" t="s">
        <v>52</v>
      </c>
      <c r="I27" s="19" t="s">
        <v>53</v>
      </c>
      <c r="J27" s="18" t="s">
        <v>181</v>
      </c>
    </row>
    <row r="28" customFormat="false" ht="36" hidden="false" customHeight="true" outlineLevel="0" collapsed="false">
      <c r="A28" s="17" t="n">
        <v>24</v>
      </c>
      <c r="B28" s="18" t="s">
        <v>169</v>
      </c>
      <c r="C28" s="18" t="s">
        <v>182</v>
      </c>
      <c r="D28" s="18" t="s">
        <v>183</v>
      </c>
      <c r="E28" s="18" t="s">
        <v>184</v>
      </c>
      <c r="F28" s="18" t="s">
        <v>89</v>
      </c>
      <c r="G28" s="18" t="s">
        <v>185</v>
      </c>
      <c r="H28" s="18" t="s">
        <v>52</v>
      </c>
      <c r="I28" s="19" t="s">
        <v>53</v>
      </c>
      <c r="J28" s="18" t="s">
        <v>186</v>
      </c>
    </row>
    <row r="29" customFormat="false" ht="36" hidden="false" customHeight="true" outlineLevel="0" collapsed="false">
      <c r="A29" s="17" t="n">
        <v>25</v>
      </c>
      <c r="B29" s="18" t="s">
        <v>169</v>
      </c>
      <c r="C29" s="18" t="s">
        <v>187</v>
      </c>
      <c r="D29" s="18" t="s">
        <v>188</v>
      </c>
      <c r="E29" s="18" t="s">
        <v>189</v>
      </c>
      <c r="F29" s="18" t="s">
        <v>83</v>
      </c>
      <c r="G29" s="18" t="s">
        <v>190</v>
      </c>
      <c r="H29" s="18" t="s">
        <v>52</v>
      </c>
      <c r="I29" s="19" t="s">
        <v>53</v>
      </c>
      <c r="J29" s="18" t="s">
        <v>85</v>
      </c>
    </row>
    <row r="30" customFormat="false" ht="36" hidden="false" customHeight="true" outlineLevel="0" collapsed="false">
      <c r="A30" s="17" t="n">
        <v>26</v>
      </c>
      <c r="B30" s="18" t="s">
        <v>169</v>
      </c>
      <c r="C30" s="18" t="s">
        <v>191</v>
      </c>
      <c r="D30" s="18" t="s">
        <v>192</v>
      </c>
      <c r="E30" s="18" t="s">
        <v>193</v>
      </c>
      <c r="F30" s="18" t="s">
        <v>194</v>
      </c>
      <c r="G30" s="18" t="s">
        <v>195</v>
      </c>
      <c r="H30" s="18" t="s">
        <v>196</v>
      </c>
      <c r="I30" s="19" t="s">
        <v>53</v>
      </c>
      <c r="J30" s="18" t="s">
        <v>197</v>
      </c>
    </row>
    <row r="31" customFormat="false" ht="36" hidden="false" customHeight="true" outlineLevel="0" collapsed="false">
      <c r="A31" s="17" t="n">
        <v>27</v>
      </c>
      <c r="B31" s="18" t="s">
        <v>169</v>
      </c>
      <c r="C31" s="18" t="s">
        <v>198</v>
      </c>
      <c r="D31" s="18" t="s">
        <v>199</v>
      </c>
      <c r="E31" s="20" t="s">
        <v>200</v>
      </c>
      <c r="F31" s="18" t="s">
        <v>179</v>
      </c>
      <c r="G31" s="18" t="s">
        <v>201</v>
      </c>
      <c r="H31" s="18" t="s">
        <v>66</v>
      </c>
      <c r="I31" s="19" t="s">
        <v>53</v>
      </c>
      <c r="J31" s="18" t="s">
        <v>202</v>
      </c>
    </row>
    <row r="32" customFormat="false" ht="36" hidden="false" customHeight="true" outlineLevel="0" collapsed="false">
      <c r="A32" s="17" t="n">
        <v>28</v>
      </c>
      <c r="B32" s="18" t="s">
        <v>169</v>
      </c>
      <c r="C32" s="18" t="s">
        <v>203</v>
      </c>
      <c r="D32" s="18" t="s">
        <v>204</v>
      </c>
      <c r="E32" s="18" t="s">
        <v>205</v>
      </c>
      <c r="F32" s="18" t="s">
        <v>89</v>
      </c>
      <c r="G32" s="18" t="s">
        <v>206</v>
      </c>
      <c r="H32" s="18" t="s">
        <v>52</v>
      </c>
      <c r="I32" s="19" t="s">
        <v>53</v>
      </c>
      <c r="J32" s="18" t="s">
        <v>207</v>
      </c>
    </row>
    <row r="33" customFormat="false" ht="36" hidden="false" customHeight="true" outlineLevel="0" collapsed="false">
      <c r="A33" s="17" t="n">
        <v>29</v>
      </c>
      <c r="B33" s="18" t="s">
        <v>169</v>
      </c>
      <c r="C33" s="18" t="s">
        <v>208</v>
      </c>
      <c r="D33" s="18" t="s">
        <v>209</v>
      </c>
      <c r="E33" s="18" t="s">
        <v>210</v>
      </c>
      <c r="F33" s="18" t="s">
        <v>211</v>
      </c>
      <c r="G33" s="18" t="s">
        <v>212</v>
      </c>
      <c r="H33" s="18" t="s">
        <v>52</v>
      </c>
      <c r="I33" s="19" t="s">
        <v>53</v>
      </c>
      <c r="J33" s="18" t="s">
        <v>213</v>
      </c>
    </row>
    <row r="34" customFormat="false" ht="36" hidden="false" customHeight="true" outlineLevel="0" collapsed="false">
      <c r="A34" s="17" t="n">
        <v>30</v>
      </c>
      <c r="B34" s="18" t="s">
        <v>169</v>
      </c>
      <c r="C34" s="18" t="s">
        <v>214</v>
      </c>
      <c r="D34" s="18" t="s">
        <v>215</v>
      </c>
      <c r="E34" s="18" t="s">
        <v>216</v>
      </c>
      <c r="F34" s="18" t="s">
        <v>217</v>
      </c>
      <c r="G34" s="18" t="s">
        <v>218</v>
      </c>
      <c r="H34" s="18" t="s">
        <v>52</v>
      </c>
      <c r="I34" s="19" t="s">
        <v>53</v>
      </c>
      <c r="J34" s="18" t="s">
        <v>219</v>
      </c>
    </row>
  </sheetData>
  <autoFilter ref="A4:J34"/>
  <mergeCells count="2">
    <mergeCell ref="A1:J1"/>
    <mergeCell ref="A2:J2"/>
  </mergeCells>
  <conditionalFormatting sqref="I5:I34">
    <cfRule type="expression" priority="2" aboveAverage="0" equalAverage="0" bottom="0" percent="0" rank="0" text="" dxfId="7">
      <formula>I5="Done"</formula>
    </cfRule>
    <cfRule type="expression" priority="3" aboveAverage="0" equalAverage="0" bottom="0" percent="0" rank="0" text="" dxfId="8">
      <formula>I5="In Progress"</formula>
    </cfRule>
    <cfRule type="expression" priority="4" aboveAverage="0" equalAverage="0" bottom="0" percent="0" rank="0" text="" dxfId="9">
      <formula>I5="Blocked"</formula>
    </cfRule>
  </conditionalFormatting>
  <dataValidations count="1">
    <dataValidation allowBlank="false" errorStyle="stop" operator="between" showDropDown="false" showErrorMessage="false" showInputMessage="false" sqref="I5:I34" type="list">
      <formula1>"Planned,In Progress,Done,Blocked"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22"/>
    <col collapsed="false" customWidth="true" hidden="false" outlineLevel="0" max="3" min="3" style="0" width="78"/>
  </cols>
  <sheetData>
    <row r="1" customFormat="false" ht="27.75" hidden="false" customHeight="true" outlineLevel="0" collapsed="false">
      <c r="A1" s="1" t="s">
        <v>220</v>
      </c>
      <c r="B1" s="1"/>
      <c r="C1" s="1"/>
      <c r="D1" s="1"/>
      <c r="E1" s="1"/>
      <c r="F1" s="1"/>
      <c r="G1" s="1"/>
      <c r="H1" s="1"/>
      <c r="I1" s="1"/>
      <c r="J1" s="1"/>
    </row>
    <row r="2" customFormat="false" ht="21.75" hidden="false" customHeight="true" outlineLevel="0" collapsed="false">
      <c r="A2" s="22" t="s">
        <v>221</v>
      </c>
      <c r="B2" s="22"/>
      <c r="C2" s="22"/>
      <c r="D2" s="22"/>
      <c r="E2" s="22"/>
      <c r="F2" s="22"/>
      <c r="G2" s="22"/>
      <c r="H2" s="22"/>
      <c r="I2" s="22"/>
      <c r="J2" s="22"/>
    </row>
    <row r="4" customFormat="false" ht="15" hidden="false" customHeight="false" outlineLevel="0" collapsed="false">
      <c r="A4" s="23" t="s">
        <v>222</v>
      </c>
      <c r="B4" s="23" t="s">
        <v>223</v>
      </c>
      <c r="C4" s="23" t="s">
        <v>224</v>
      </c>
      <c r="D4" s="23"/>
      <c r="E4" s="23"/>
      <c r="F4" s="23"/>
      <c r="G4" s="23"/>
      <c r="H4" s="23"/>
      <c r="I4" s="23"/>
      <c r="J4" s="23"/>
    </row>
    <row r="5" customFormat="false" ht="42" hidden="false" customHeight="true" outlineLevel="0" collapsed="false">
      <c r="A5" s="24" t="s">
        <v>225</v>
      </c>
      <c r="B5" s="18" t="s">
        <v>226</v>
      </c>
      <c r="C5" s="18" t="s">
        <v>227</v>
      </c>
    </row>
    <row r="6" customFormat="false" ht="42" hidden="false" customHeight="true" outlineLevel="0" collapsed="false">
      <c r="A6" s="24" t="s">
        <v>228</v>
      </c>
      <c r="B6" s="18" t="s">
        <v>229</v>
      </c>
      <c r="C6" s="18" t="s">
        <v>230</v>
      </c>
    </row>
    <row r="7" customFormat="false" ht="42" hidden="false" customHeight="true" outlineLevel="0" collapsed="false">
      <c r="A7" s="24" t="s">
        <v>231</v>
      </c>
      <c r="B7" s="18" t="s">
        <v>232</v>
      </c>
      <c r="C7" s="18" t="s">
        <v>233</v>
      </c>
    </row>
    <row r="8" customFormat="false" ht="42" hidden="false" customHeight="true" outlineLevel="0" collapsed="false">
      <c r="A8" s="24" t="s">
        <v>234</v>
      </c>
      <c r="B8" s="18" t="s">
        <v>235</v>
      </c>
      <c r="C8" s="18" t="s">
        <v>236</v>
      </c>
    </row>
    <row r="9" customFormat="false" ht="42" hidden="false" customHeight="true" outlineLevel="0" collapsed="false">
      <c r="A9" s="24" t="s">
        <v>237</v>
      </c>
      <c r="B9" s="18" t="s">
        <v>238</v>
      </c>
      <c r="C9" s="18" t="s">
        <v>239</v>
      </c>
    </row>
    <row r="10" customFormat="false" ht="42" hidden="false" customHeight="true" outlineLevel="0" collapsed="false">
      <c r="A10" s="24" t="s">
        <v>240</v>
      </c>
      <c r="B10" s="18" t="s">
        <v>241</v>
      </c>
      <c r="C10" s="18" t="s">
        <v>242</v>
      </c>
    </row>
    <row r="11" customFormat="false" ht="42" hidden="false" customHeight="true" outlineLevel="0" collapsed="false">
      <c r="A11" s="24" t="s">
        <v>243</v>
      </c>
      <c r="B11" s="18" t="s">
        <v>244</v>
      </c>
      <c r="C11" s="18" t="s">
        <v>245</v>
      </c>
    </row>
    <row r="12" customFormat="false" ht="42" hidden="false" customHeight="true" outlineLevel="0" collapsed="false">
      <c r="A12" s="24" t="s">
        <v>246</v>
      </c>
      <c r="B12" s="18" t="s">
        <v>247</v>
      </c>
      <c r="C12" s="18" t="s">
        <v>248</v>
      </c>
    </row>
    <row r="13" customFormat="false" ht="52.2" hidden="false" customHeight="false" outlineLevel="0" collapsed="false">
      <c r="A13" s="25" t="s">
        <v>249</v>
      </c>
      <c r="B13" s="26" t="s">
        <v>250</v>
      </c>
      <c r="C13" s="27" t="s">
        <v>251</v>
      </c>
    </row>
    <row r="14" customFormat="false" ht="52.2" hidden="false" customHeight="false" outlineLevel="0" collapsed="false">
      <c r="A14" s="25" t="s">
        <v>252</v>
      </c>
      <c r="B14" s="26" t="s">
        <v>253</v>
      </c>
      <c r="C14" s="27" t="s">
        <v>254</v>
      </c>
    </row>
    <row r="15" customFormat="false" ht="39.55" hidden="false" customHeight="false" outlineLevel="0" collapsed="false">
      <c r="A15" s="25" t="s">
        <v>255</v>
      </c>
      <c r="B15" s="26" t="s">
        <v>256</v>
      </c>
      <c r="C15" s="27" t="s">
        <v>257</v>
      </c>
    </row>
  </sheetData>
  <autoFilter ref="A4:C12"/>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3"/>
    <col collapsed="false" customWidth="true" hidden="false" outlineLevel="0" max="3" min="3" style="0" width="20"/>
    <col collapsed="false" customWidth="true" hidden="false" outlineLevel="0" max="4" min="4" style="0" width="16"/>
    <col collapsed="false" customWidth="true" hidden="false" outlineLevel="0" max="5" min="5" style="0" width="18"/>
    <col collapsed="false" customWidth="true" hidden="false" outlineLevel="0" max="6" min="6" style="0" width="16"/>
    <col collapsed="false" customWidth="true" hidden="false" outlineLevel="0" max="7" min="7" style="0" width="13"/>
    <col collapsed="false" customWidth="true" hidden="false" outlineLevel="0" max="8" min="8" style="0" width="14"/>
    <col collapsed="false" customWidth="true" hidden="false" outlineLevel="0" max="9" min="9" style="0" width="12"/>
    <col collapsed="false" customWidth="true" hidden="false" outlineLevel="0" max="10" min="10" style="0" width="14"/>
    <col collapsed="false" customWidth="true" hidden="false" outlineLevel="0" max="11" min="11" style="0" width="13"/>
    <col collapsed="false" customWidth="true" hidden="false" outlineLevel="0" max="12" min="12" style="0" width="12"/>
    <col collapsed="false" customWidth="true" hidden="false" outlineLevel="0" max="14" min="13" style="0" width="28"/>
  </cols>
  <sheetData>
    <row r="1" customFormat="false" ht="27.75" hidden="false" customHeight="true" outlineLevel="0" collapsed="false">
      <c r="A1" s="1" t="s">
        <v>258</v>
      </c>
      <c r="B1" s="1"/>
      <c r="C1" s="1"/>
      <c r="D1" s="1"/>
      <c r="E1" s="1"/>
      <c r="F1" s="1"/>
      <c r="G1" s="1"/>
      <c r="H1" s="1"/>
      <c r="I1" s="1"/>
      <c r="J1" s="1"/>
    </row>
    <row r="2" customFormat="false" ht="21.75" hidden="false" customHeight="true" outlineLevel="0" collapsed="false">
      <c r="A2" s="2" t="s">
        <v>259</v>
      </c>
      <c r="B2" s="2"/>
      <c r="C2" s="2"/>
      <c r="D2" s="2"/>
      <c r="E2" s="2"/>
      <c r="F2" s="2"/>
      <c r="G2" s="2"/>
      <c r="H2" s="2"/>
      <c r="I2" s="2"/>
      <c r="J2" s="2"/>
    </row>
    <row r="3" customFormat="false" ht="57.45" hidden="false" customHeight="false" outlineLevel="0" collapsed="false">
      <c r="F3" s="28" t="s">
        <v>260</v>
      </c>
      <c r="N3" s="29" t="s">
        <v>261</v>
      </c>
    </row>
    <row r="4" customFormat="false" ht="41.75" hidden="false" customHeight="false" outlineLevel="0" collapsed="false">
      <c r="A4" s="16" t="s">
        <v>262</v>
      </c>
      <c r="B4" s="16" t="s">
        <v>263</v>
      </c>
      <c r="C4" s="16" t="s">
        <v>264</v>
      </c>
      <c r="D4" s="16" t="s">
        <v>265</v>
      </c>
      <c r="E4" s="16" t="s">
        <v>266</v>
      </c>
      <c r="F4" s="16" t="s">
        <v>267</v>
      </c>
      <c r="G4" s="16" t="s">
        <v>268</v>
      </c>
      <c r="H4" s="16" t="s">
        <v>269</v>
      </c>
      <c r="I4" s="16" t="s">
        <v>270</v>
      </c>
      <c r="J4" s="16" t="s">
        <v>271</v>
      </c>
      <c r="K4" s="16" t="s">
        <v>272</v>
      </c>
      <c r="L4" s="16" t="s">
        <v>43</v>
      </c>
      <c r="M4" s="16" t="s">
        <v>273</v>
      </c>
      <c r="N4" s="27"/>
    </row>
    <row r="5" customFormat="false" ht="21.75" hidden="false" customHeight="true" outlineLevel="0" collapsed="false">
      <c r="A5" s="30" t="n">
        <v>1</v>
      </c>
      <c r="B5" s="18"/>
      <c r="C5" s="18"/>
      <c r="D5" s="31"/>
      <c r="E5" s="18"/>
      <c r="F5" s="18"/>
      <c r="G5" s="18" t="s">
        <v>274</v>
      </c>
      <c r="H5" s="32" t="n">
        <v>0</v>
      </c>
      <c r="I5" s="31"/>
      <c r="J5" s="31"/>
      <c r="K5" s="18"/>
      <c r="L5" s="18"/>
      <c r="M5" s="18"/>
      <c r="N5" s="27"/>
    </row>
    <row r="6" customFormat="false" ht="21.75" hidden="false" customHeight="true" outlineLevel="0" collapsed="false">
      <c r="A6" s="30" t="n">
        <v>2</v>
      </c>
      <c r="B6" s="18"/>
      <c r="C6" s="18"/>
      <c r="D6" s="31"/>
      <c r="E6" s="18"/>
      <c r="F6" s="18"/>
      <c r="G6" s="18" t="s">
        <v>274</v>
      </c>
      <c r="H6" s="32" t="n">
        <v>0</v>
      </c>
      <c r="I6" s="31"/>
      <c r="J6" s="31"/>
      <c r="K6" s="18"/>
      <c r="L6" s="18"/>
      <c r="M6" s="18"/>
      <c r="N6" s="27"/>
    </row>
    <row r="7" customFormat="false" ht="21.75" hidden="false" customHeight="true" outlineLevel="0" collapsed="false">
      <c r="A7" s="30" t="n">
        <v>3</v>
      </c>
      <c r="B7" s="18"/>
      <c r="C7" s="18"/>
      <c r="D7" s="31"/>
      <c r="E7" s="18"/>
      <c r="F7" s="18"/>
      <c r="G7" s="18" t="s">
        <v>274</v>
      </c>
      <c r="H7" s="32" t="n">
        <v>0</v>
      </c>
      <c r="I7" s="31"/>
      <c r="J7" s="31"/>
      <c r="K7" s="18"/>
      <c r="L7" s="18"/>
      <c r="M7" s="18"/>
      <c r="N7" s="27"/>
    </row>
    <row r="8" customFormat="false" ht="21.75" hidden="false" customHeight="true" outlineLevel="0" collapsed="false">
      <c r="A8" s="30" t="n">
        <v>4</v>
      </c>
      <c r="B8" s="18"/>
      <c r="C8" s="18"/>
      <c r="D8" s="31"/>
      <c r="E8" s="18"/>
      <c r="F8" s="18"/>
      <c r="G8" s="18" t="s">
        <v>274</v>
      </c>
      <c r="H8" s="32" t="n">
        <v>0</v>
      </c>
      <c r="I8" s="31"/>
      <c r="J8" s="31"/>
      <c r="K8" s="18"/>
      <c r="L8" s="18"/>
      <c r="M8" s="18"/>
      <c r="N8" s="27"/>
    </row>
    <row r="9" customFormat="false" ht="21.75" hidden="false" customHeight="true" outlineLevel="0" collapsed="false">
      <c r="A9" s="30" t="n">
        <v>5</v>
      </c>
      <c r="B9" s="18"/>
      <c r="C9" s="18"/>
      <c r="D9" s="31"/>
      <c r="E9" s="18"/>
      <c r="F9" s="18"/>
      <c r="G9" s="18" t="s">
        <v>274</v>
      </c>
      <c r="H9" s="32" t="n">
        <v>0</v>
      </c>
      <c r="I9" s="31"/>
      <c r="J9" s="31"/>
      <c r="K9" s="18"/>
      <c r="L9" s="18"/>
      <c r="M9" s="18"/>
      <c r="N9" s="27"/>
    </row>
    <row r="10" customFormat="false" ht="21.75" hidden="false" customHeight="true" outlineLevel="0" collapsed="false">
      <c r="A10" s="30" t="n">
        <v>6</v>
      </c>
      <c r="B10" s="18"/>
      <c r="C10" s="18"/>
      <c r="D10" s="31"/>
      <c r="E10" s="18"/>
      <c r="F10" s="18"/>
      <c r="G10" s="18" t="s">
        <v>274</v>
      </c>
      <c r="H10" s="32" t="n">
        <v>0</v>
      </c>
      <c r="I10" s="31"/>
      <c r="J10" s="31"/>
      <c r="K10" s="18"/>
      <c r="L10" s="18"/>
      <c r="M10" s="18"/>
      <c r="N10" s="27"/>
    </row>
    <row r="11" customFormat="false" ht="21.75" hidden="false" customHeight="true" outlineLevel="0" collapsed="false">
      <c r="A11" s="30" t="n">
        <v>7</v>
      </c>
      <c r="B11" s="18"/>
      <c r="C11" s="18"/>
      <c r="D11" s="31"/>
      <c r="E11" s="18"/>
      <c r="F11" s="18"/>
      <c r="G11" s="18" t="s">
        <v>274</v>
      </c>
      <c r="H11" s="32" t="n">
        <v>0</v>
      </c>
      <c r="I11" s="31"/>
      <c r="J11" s="31"/>
      <c r="K11" s="18"/>
      <c r="L11" s="18"/>
      <c r="M11" s="18"/>
      <c r="N11" s="27"/>
    </row>
    <row r="12" customFormat="false" ht="21.75" hidden="false" customHeight="true" outlineLevel="0" collapsed="false">
      <c r="A12" s="30" t="n">
        <v>8</v>
      </c>
      <c r="B12" s="18"/>
      <c r="C12" s="18"/>
      <c r="D12" s="31"/>
      <c r="E12" s="18"/>
      <c r="F12" s="18"/>
      <c r="G12" s="18" t="s">
        <v>274</v>
      </c>
      <c r="H12" s="32" t="n">
        <v>0</v>
      </c>
      <c r="I12" s="31"/>
      <c r="J12" s="31"/>
      <c r="K12" s="18"/>
      <c r="L12" s="18"/>
      <c r="M12" s="18"/>
      <c r="N12" s="27"/>
    </row>
    <row r="13" customFormat="false" ht="21.75" hidden="false" customHeight="true" outlineLevel="0" collapsed="false">
      <c r="A13" s="30" t="n">
        <v>9</v>
      </c>
      <c r="B13" s="18"/>
      <c r="C13" s="18"/>
      <c r="D13" s="31"/>
      <c r="E13" s="18"/>
      <c r="F13" s="18"/>
      <c r="G13" s="18" t="s">
        <v>274</v>
      </c>
      <c r="H13" s="32" t="n">
        <v>0</v>
      </c>
      <c r="I13" s="31"/>
      <c r="J13" s="31"/>
      <c r="K13" s="18"/>
      <c r="L13" s="18"/>
      <c r="M13" s="18"/>
      <c r="N13" s="27"/>
    </row>
    <row r="14" customFormat="false" ht="21.75" hidden="false" customHeight="true" outlineLevel="0" collapsed="false">
      <c r="A14" s="30" t="n">
        <v>10</v>
      </c>
      <c r="B14" s="18"/>
      <c r="C14" s="18"/>
      <c r="D14" s="31"/>
      <c r="E14" s="18"/>
      <c r="F14" s="18"/>
      <c r="G14" s="18" t="s">
        <v>274</v>
      </c>
      <c r="H14" s="32" t="n">
        <v>0</v>
      </c>
      <c r="I14" s="31"/>
      <c r="J14" s="31"/>
      <c r="K14" s="18"/>
      <c r="L14" s="18"/>
      <c r="M14" s="18"/>
      <c r="N14" s="27"/>
    </row>
    <row r="15" customFormat="false" ht="21.75" hidden="false" customHeight="true" outlineLevel="0" collapsed="false">
      <c r="A15" s="30" t="n">
        <v>11</v>
      </c>
      <c r="B15" s="18"/>
      <c r="C15" s="18"/>
      <c r="D15" s="31"/>
      <c r="E15" s="18"/>
      <c r="F15" s="18"/>
      <c r="G15" s="18" t="s">
        <v>274</v>
      </c>
      <c r="H15" s="32" t="n">
        <v>0</v>
      </c>
      <c r="I15" s="31"/>
      <c r="J15" s="31"/>
      <c r="K15" s="18"/>
      <c r="L15" s="18"/>
      <c r="M15" s="18"/>
      <c r="N15" s="27"/>
    </row>
    <row r="16" customFormat="false" ht="21.75" hidden="false" customHeight="true" outlineLevel="0" collapsed="false">
      <c r="A16" s="30" t="n">
        <v>12</v>
      </c>
      <c r="B16" s="18"/>
      <c r="C16" s="18"/>
      <c r="D16" s="31"/>
      <c r="E16" s="18"/>
      <c r="F16" s="18"/>
      <c r="G16" s="18" t="s">
        <v>274</v>
      </c>
      <c r="H16" s="32" t="n">
        <v>0</v>
      </c>
      <c r="I16" s="31"/>
      <c r="J16" s="31"/>
      <c r="K16" s="18"/>
      <c r="L16" s="18"/>
      <c r="M16" s="18"/>
      <c r="N16" s="27"/>
    </row>
    <row r="17" customFormat="false" ht="21.75" hidden="false" customHeight="true" outlineLevel="0" collapsed="false">
      <c r="A17" s="30" t="n">
        <v>13</v>
      </c>
      <c r="B17" s="18"/>
      <c r="C17" s="18"/>
      <c r="D17" s="31"/>
      <c r="E17" s="18"/>
      <c r="F17" s="18"/>
      <c r="G17" s="18" t="s">
        <v>274</v>
      </c>
      <c r="H17" s="32" t="n">
        <v>0</v>
      </c>
      <c r="I17" s="31"/>
      <c r="J17" s="31"/>
      <c r="K17" s="18"/>
      <c r="L17" s="18"/>
      <c r="M17" s="18"/>
      <c r="N17" s="27"/>
    </row>
    <row r="18" customFormat="false" ht="21.75" hidden="false" customHeight="true" outlineLevel="0" collapsed="false">
      <c r="A18" s="30" t="n">
        <v>14</v>
      </c>
      <c r="B18" s="18"/>
      <c r="C18" s="18"/>
      <c r="D18" s="31"/>
      <c r="E18" s="18"/>
      <c r="F18" s="18"/>
      <c r="G18" s="18" t="s">
        <v>274</v>
      </c>
      <c r="H18" s="32" t="n">
        <v>0</v>
      </c>
      <c r="I18" s="31"/>
      <c r="J18" s="31"/>
      <c r="K18" s="18"/>
      <c r="L18" s="18"/>
      <c r="M18" s="18"/>
      <c r="N18" s="27"/>
    </row>
    <row r="19" customFormat="false" ht="21.75" hidden="false" customHeight="true" outlineLevel="0" collapsed="false">
      <c r="A19" s="30" t="n">
        <v>15</v>
      </c>
      <c r="B19" s="18"/>
      <c r="C19" s="18"/>
      <c r="D19" s="31"/>
      <c r="E19" s="18"/>
      <c r="F19" s="18"/>
      <c r="G19" s="18" t="s">
        <v>274</v>
      </c>
      <c r="H19" s="32" t="n">
        <v>0</v>
      </c>
      <c r="I19" s="31"/>
      <c r="J19" s="31"/>
      <c r="K19" s="18"/>
      <c r="L19" s="18"/>
      <c r="M19" s="18"/>
      <c r="N19" s="27"/>
    </row>
    <row r="20" customFormat="false" ht="21.75" hidden="false" customHeight="true" outlineLevel="0" collapsed="false">
      <c r="A20" s="30" t="n">
        <v>16</v>
      </c>
      <c r="B20" s="18"/>
      <c r="C20" s="18"/>
      <c r="D20" s="31"/>
      <c r="E20" s="18"/>
      <c r="F20" s="18"/>
      <c r="G20" s="18" t="s">
        <v>274</v>
      </c>
      <c r="H20" s="32" t="n">
        <v>0</v>
      </c>
      <c r="I20" s="31"/>
      <c r="J20" s="31"/>
      <c r="K20" s="18"/>
      <c r="L20" s="18"/>
      <c r="M20" s="18"/>
      <c r="N20" s="27"/>
    </row>
    <row r="21" customFormat="false" ht="21.75" hidden="false" customHeight="true" outlineLevel="0" collapsed="false">
      <c r="A21" s="30" t="n">
        <v>17</v>
      </c>
      <c r="B21" s="18"/>
      <c r="C21" s="18"/>
      <c r="D21" s="31"/>
      <c r="E21" s="18"/>
      <c r="F21" s="18"/>
      <c r="G21" s="18" t="s">
        <v>274</v>
      </c>
      <c r="H21" s="32" t="n">
        <v>0</v>
      </c>
      <c r="I21" s="31"/>
      <c r="J21" s="31"/>
      <c r="K21" s="18"/>
      <c r="L21" s="18"/>
      <c r="M21" s="18"/>
      <c r="N21" s="27"/>
    </row>
    <row r="22" customFormat="false" ht="21.75" hidden="false" customHeight="true" outlineLevel="0" collapsed="false">
      <c r="A22" s="30" t="n">
        <v>18</v>
      </c>
      <c r="B22" s="18"/>
      <c r="C22" s="18"/>
      <c r="D22" s="31"/>
      <c r="E22" s="18"/>
      <c r="F22" s="18"/>
      <c r="G22" s="18" t="s">
        <v>274</v>
      </c>
      <c r="H22" s="32" t="n">
        <v>0</v>
      </c>
      <c r="I22" s="31"/>
      <c r="J22" s="31"/>
      <c r="K22" s="18"/>
      <c r="L22" s="18"/>
      <c r="M22" s="18"/>
      <c r="N22" s="27"/>
    </row>
    <row r="23" customFormat="false" ht="21.75" hidden="false" customHeight="true" outlineLevel="0" collapsed="false">
      <c r="A23" s="30" t="n">
        <v>19</v>
      </c>
      <c r="B23" s="18"/>
      <c r="C23" s="18"/>
      <c r="D23" s="31"/>
      <c r="E23" s="18"/>
      <c r="F23" s="18"/>
      <c r="G23" s="18" t="s">
        <v>274</v>
      </c>
      <c r="H23" s="32" t="n">
        <v>0</v>
      </c>
      <c r="I23" s="31"/>
      <c r="J23" s="31"/>
      <c r="K23" s="18"/>
      <c r="L23" s="18"/>
      <c r="M23" s="18"/>
      <c r="N23" s="27"/>
    </row>
    <row r="24" customFormat="false" ht="21.75" hidden="false" customHeight="true" outlineLevel="0" collapsed="false">
      <c r="A24" s="30" t="n">
        <v>20</v>
      </c>
      <c r="B24" s="18"/>
      <c r="C24" s="18"/>
      <c r="D24" s="31"/>
      <c r="E24" s="18"/>
      <c r="F24" s="18"/>
      <c r="G24" s="18" t="s">
        <v>274</v>
      </c>
      <c r="H24" s="32" t="n">
        <v>0</v>
      </c>
      <c r="I24" s="31"/>
      <c r="J24" s="31"/>
      <c r="K24" s="18"/>
      <c r="L24" s="18"/>
      <c r="M24" s="18"/>
      <c r="N24" s="27"/>
    </row>
    <row r="25" customFormat="false" ht="21.75" hidden="false" customHeight="true" outlineLevel="0" collapsed="false">
      <c r="A25" s="30" t="n">
        <v>21</v>
      </c>
      <c r="B25" s="18"/>
      <c r="C25" s="18"/>
      <c r="D25" s="31"/>
      <c r="E25" s="18"/>
      <c r="F25" s="18"/>
      <c r="G25" s="18" t="s">
        <v>274</v>
      </c>
      <c r="H25" s="32" t="n">
        <v>0</v>
      </c>
      <c r="I25" s="31"/>
      <c r="J25" s="31"/>
      <c r="K25" s="18"/>
      <c r="L25" s="18"/>
      <c r="M25" s="18"/>
      <c r="N25" s="27"/>
    </row>
    <row r="26" customFormat="false" ht="21.75" hidden="false" customHeight="true" outlineLevel="0" collapsed="false">
      <c r="A26" s="30" t="n">
        <v>22</v>
      </c>
      <c r="B26" s="18"/>
      <c r="C26" s="18"/>
      <c r="D26" s="31"/>
      <c r="E26" s="18"/>
      <c r="F26" s="18"/>
      <c r="G26" s="18" t="s">
        <v>274</v>
      </c>
      <c r="H26" s="32" t="n">
        <v>0</v>
      </c>
      <c r="I26" s="31"/>
      <c r="J26" s="31"/>
      <c r="K26" s="18"/>
      <c r="L26" s="18"/>
      <c r="M26" s="18"/>
      <c r="N26" s="27"/>
    </row>
    <row r="27" customFormat="false" ht="21.75" hidden="false" customHeight="true" outlineLevel="0" collapsed="false">
      <c r="A27" s="30" t="n">
        <v>23</v>
      </c>
      <c r="B27" s="18"/>
      <c r="C27" s="18"/>
      <c r="D27" s="31"/>
      <c r="E27" s="18"/>
      <c r="F27" s="18"/>
      <c r="G27" s="18" t="s">
        <v>274</v>
      </c>
      <c r="H27" s="32" t="n">
        <v>0</v>
      </c>
      <c r="I27" s="31"/>
      <c r="J27" s="31"/>
      <c r="K27" s="18"/>
      <c r="L27" s="18"/>
      <c r="M27" s="18"/>
      <c r="N27" s="27"/>
    </row>
    <row r="28" customFormat="false" ht="21.75" hidden="false" customHeight="true" outlineLevel="0" collapsed="false">
      <c r="A28" s="30" t="n">
        <v>24</v>
      </c>
      <c r="B28" s="18"/>
      <c r="C28" s="18"/>
      <c r="D28" s="31"/>
      <c r="E28" s="18"/>
      <c r="F28" s="18"/>
      <c r="G28" s="18" t="s">
        <v>274</v>
      </c>
      <c r="H28" s="32" t="n">
        <v>0</v>
      </c>
      <c r="I28" s="31"/>
      <c r="J28" s="31"/>
      <c r="K28" s="18"/>
      <c r="L28" s="18"/>
      <c r="M28" s="18"/>
      <c r="N28" s="27"/>
    </row>
    <row r="29" customFormat="false" ht="21.75" hidden="false" customHeight="true" outlineLevel="0" collapsed="false">
      <c r="A29" s="30" t="n">
        <v>25</v>
      </c>
      <c r="B29" s="18"/>
      <c r="C29" s="18"/>
      <c r="D29" s="31"/>
      <c r="E29" s="18"/>
      <c r="F29" s="18"/>
      <c r="G29" s="18" t="s">
        <v>274</v>
      </c>
      <c r="H29" s="32" t="n">
        <v>0</v>
      </c>
      <c r="I29" s="31"/>
      <c r="J29" s="31"/>
      <c r="K29" s="18"/>
      <c r="L29" s="18"/>
      <c r="M29" s="18"/>
      <c r="N29" s="27"/>
    </row>
    <row r="30" customFormat="false" ht="21.75" hidden="false" customHeight="true" outlineLevel="0" collapsed="false">
      <c r="A30" s="30" t="n">
        <v>26</v>
      </c>
      <c r="B30" s="18"/>
      <c r="C30" s="18"/>
      <c r="D30" s="31"/>
      <c r="E30" s="18"/>
      <c r="F30" s="18"/>
      <c r="G30" s="18" t="s">
        <v>274</v>
      </c>
      <c r="H30" s="32" t="n">
        <v>0</v>
      </c>
      <c r="I30" s="31"/>
      <c r="J30" s="31"/>
      <c r="K30" s="18"/>
      <c r="L30" s="18"/>
      <c r="M30" s="18"/>
      <c r="N30" s="27"/>
    </row>
    <row r="31" customFormat="false" ht="21.75" hidden="false" customHeight="true" outlineLevel="0" collapsed="false">
      <c r="A31" s="30" t="n">
        <v>27</v>
      </c>
      <c r="B31" s="18"/>
      <c r="C31" s="18"/>
      <c r="D31" s="31"/>
      <c r="E31" s="18"/>
      <c r="F31" s="18"/>
      <c r="G31" s="18" t="s">
        <v>274</v>
      </c>
      <c r="H31" s="32" t="n">
        <v>0</v>
      </c>
      <c r="I31" s="31"/>
      <c r="J31" s="31"/>
      <c r="K31" s="18"/>
      <c r="L31" s="18"/>
      <c r="M31" s="18"/>
      <c r="N31" s="27"/>
    </row>
    <row r="32" customFormat="false" ht="21.75" hidden="false" customHeight="true" outlineLevel="0" collapsed="false">
      <c r="A32" s="30" t="n">
        <v>28</v>
      </c>
      <c r="B32" s="18"/>
      <c r="C32" s="18"/>
      <c r="D32" s="31"/>
      <c r="E32" s="18"/>
      <c r="F32" s="18"/>
      <c r="G32" s="18" t="s">
        <v>274</v>
      </c>
      <c r="H32" s="32" t="n">
        <v>0</v>
      </c>
      <c r="I32" s="31"/>
      <c r="J32" s="31"/>
      <c r="K32" s="18"/>
      <c r="L32" s="18"/>
      <c r="M32" s="18"/>
      <c r="N32" s="27"/>
    </row>
    <row r="33" customFormat="false" ht="21.75" hidden="false" customHeight="true" outlineLevel="0" collapsed="false">
      <c r="A33" s="30" t="n">
        <v>29</v>
      </c>
      <c r="B33" s="18"/>
      <c r="C33" s="18"/>
      <c r="D33" s="31"/>
      <c r="E33" s="18"/>
      <c r="F33" s="18"/>
      <c r="G33" s="18" t="s">
        <v>274</v>
      </c>
      <c r="H33" s="32" t="n">
        <v>0</v>
      </c>
      <c r="I33" s="31"/>
      <c r="J33" s="31"/>
      <c r="K33" s="18"/>
      <c r="L33" s="18"/>
      <c r="M33" s="18"/>
      <c r="N33" s="27"/>
    </row>
    <row r="34" customFormat="false" ht="21.75" hidden="false" customHeight="true" outlineLevel="0" collapsed="false">
      <c r="A34" s="30" t="n">
        <v>30</v>
      </c>
      <c r="B34" s="18"/>
      <c r="C34" s="18"/>
      <c r="D34" s="31"/>
      <c r="E34" s="18"/>
      <c r="F34" s="18"/>
      <c r="G34" s="18" t="s">
        <v>274</v>
      </c>
      <c r="H34" s="32" t="n">
        <v>0</v>
      </c>
      <c r="I34" s="31"/>
      <c r="J34" s="31"/>
      <c r="K34" s="18"/>
      <c r="L34" s="18"/>
      <c r="M34" s="18"/>
      <c r="N34" s="27"/>
    </row>
    <row r="35" customFormat="false" ht="21.75" hidden="false" customHeight="true" outlineLevel="0" collapsed="false">
      <c r="A35" s="30" t="n">
        <v>31</v>
      </c>
      <c r="B35" s="18"/>
      <c r="C35" s="18"/>
      <c r="D35" s="31"/>
      <c r="E35" s="18"/>
      <c r="F35" s="18"/>
      <c r="G35" s="18" t="s">
        <v>274</v>
      </c>
      <c r="H35" s="32" t="n">
        <v>0</v>
      </c>
      <c r="I35" s="31"/>
      <c r="J35" s="31"/>
      <c r="K35" s="18"/>
      <c r="L35" s="18"/>
      <c r="M35" s="18"/>
      <c r="N35" s="27"/>
    </row>
    <row r="36" customFormat="false" ht="21.75" hidden="false" customHeight="true" outlineLevel="0" collapsed="false">
      <c r="A36" s="30" t="n">
        <v>32</v>
      </c>
      <c r="B36" s="18"/>
      <c r="C36" s="18"/>
      <c r="D36" s="31"/>
      <c r="E36" s="18"/>
      <c r="F36" s="18"/>
      <c r="G36" s="18" t="s">
        <v>274</v>
      </c>
      <c r="H36" s="32" t="n">
        <v>0</v>
      </c>
      <c r="I36" s="31"/>
      <c r="J36" s="31"/>
      <c r="K36" s="18"/>
      <c r="L36" s="18"/>
      <c r="M36" s="18"/>
      <c r="N36" s="27"/>
    </row>
    <row r="37" customFormat="false" ht="21.75" hidden="false" customHeight="true" outlineLevel="0" collapsed="false">
      <c r="A37" s="30" t="n">
        <v>33</v>
      </c>
      <c r="B37" s="18"/>
      <c r="C37" s="18"/>
      <c r="D37" s="31"/>
      <c r="E37" s="18"/>
      <c r="F37" s="18"/>
      <c r="G37" s="18" t="s">
        <v>274</v>
      </c>
      <c r="H37" s="32" t="n">
        <v>0</v>
      </c>
      <c r="I37" s="31"/>
      <c r="J37" s="31"/>
      <c r="K37" s="18"/>
      <c r="L37" s="18"/>
      <c r="M37" s="18"/>
      <c r="N37" s="27"/>
    </row>
    <row r="38" customFormat="false" ht="21.75" hidden="false" customHeight="true" outlineLevel="0" collapsed="false">
      <c r="A38" s="30" t="n">
        <v>34</v>
      </c>
      <c r="B38" s="18"/>
      <c r="C38" s="18"/>
      <c r="D38" s="31"/>
      <c r="E38" s="18"/>
      <c r="F38" s="18"/>
      <c r="G38" s="18" t="s">
        <v>274</v>
      </c>
      <c r="H38" s="32" t="n">
        <v>0</v>
      </c>
      <c r="I38" s="31"/>
      <c r="J38" s="31"/>
      <c r="K38" s="18"/>
      <c r="L38" s="18"/>
      <c r="M38" s="18"/>
      <c r="N38" s="27"/>
    </row>
    <row r="39" customFormat="false" ht="21.75" hidden="false" customHeight="true" outlineLevel="0" collapsed="false">
      <c r="A39" s="30" t="n">
        <v>35</v>
      </c>
      <c r="B39" s="18"/>
      <c r="C39" s="18"/>
      <c r="D39" s="31"/>
      <c r="E39" s="18"/>
      <c r="F39" s="18"/>
      <c r="G39" s="18" t="s">
        <v>274</v>
      </c>
      <c r="H39" s="32" t="n">
        <v>0</v>
      </c>
      <c r="I39" s="31"/>
      <c r="J39" s="31"/>
      <c r="K39" s="18"/>
      <c r="L39" s="18"/>
      <c r="M39" s="18"/>
      <c r="N39" s="27"/>
    </row>
    <row r="40" customFormat="false" ht="21.75" hidden="false" customHeight="true" outlineLevel="0" collapsed="false">
      <c r="A40" s="30" t="n">
        <v>36</v>
      </c>
      <c r="B40" s="18"/>
      <c r="C40" s="18"/>
      <c r="D40" s="31"/>
      <c r="E40" s="18"/>
      <c r="F40" s="18"/>
      <c r="G40" s="18" t="s">
        <v>274</v>
      </c>
      <c r="H40" s="32" t="n">
        <v>0</v>
      </c>
      <c r="I40" s="31"/>
      <c r="J40" s="31"/>
      <c r="K40" s="18"/>
      <c r="L40" s="18"/>
      <c r="M40" s="18"/>
      <c r="N40" s="27"/>
    </row>
    <row r="41" customFormat="false" ht="21.75" hidden="false" customHeight="true" outlineLevel="0" collapsed="false">
      <c r="A41" s="30" t="n">
        <v>37</v>
      </c>
      <c r="B41" s="18"/>
      <c r="C41" s="18"/>
      <c r="D41" s="31"/>
      <c r="E41" s="18"/>
      <c r="F41" s="18"/>
      <c r="G41" s="18" t="s">
        <v>274</v>
      </c>
      <c r="H41" s="32" t="n">
        <v>0</v>
      </c>
      <c r="I41" s="31"/>
      <c r="J41" s="31"/>
      <c r="K41" s="18"/>
      <c r="L41" s="18"/>
      <c r="M41" s="18"/>
      <c r="N41" s="27"/>
    </row>
    <row r="42" customFormat="false" ht="21.75" hidden="false" customHeight="true" outlineLevel="0" collapsed="false">
      <c r="A42" s="30" t="n">
        <v>38</v>
      </c>
      <c r="B42" s="18"/>
      <c r="C42" s="18"/>
      <c r="D42" s="31"/>
      <c r="E42" s="18"/>
      <c r="F42" s="18"/>
      <c r="G42" s="18" t="s">
        <v>274</v>
      </c>
      <c r="H42" s="32" t="n">
        <v>0</v>
      </c>
      <c r="I42" s="31"/>
      <c r="J42" s="31"/>
      <c r="K42" s="18"/>
      <c r="L42" s="18"/>
      <c r="M42" s="18"/>
      <c r="N42" s="27"/>
    </row>
    <row r="43" customFormat="false" ht="21.75" hidden="false" customHeight="true" outlineLevel="0" collapsed="false">
      <c r="A43" s="30" t="n">
        <v>39</v>
      </c>
      <c r="B43" s="18"/>
      <c r="C43" s="18"/>
      <c r="D43" s="31"/>
      <c r="E43" s="18"/>
      <c r="F43" s="18"/>
      <c r="G43" s="18" t="s">
        <v>274</v>
      </c>
      <c r="H43" s="32" t="n">
        <v>0</v>
      </c>
      <c r="I43" s="31"/>
      <c r="J43" s="31"/>
      <c r="K43" s="18"/>
      <c r="L43" s="18"/>
      <c r="M43" s="18"/>
      <c r="N43" s="27"/>
    </row>
    <row r="44" customFormat="false" ht="21.75" hidden="false" customHeight="true" outlineLevel="0" collapsed="false">
      <c r="A44" s="30" t="n">
        <v>40</v>
      </c>
      <c r="B44" s="18"/>
      <c r="C44" s="18"/>
      <c r="D44" s="31"/>
      <c r="E44" s="18"/>
      <c r="F44" s="18"/>
      <c r="G44" s="18" t="s">
        <v>274</v>
      </c>
      <c r="H44" s="32" t="n">
        <v>0</v>
      </c>
      <c r="I44" s="31"/>
      <c r="J44" s="31"/>
      <c r="K44" s="18"/>
      <c r="L44" s="18"/>
      <c r="M44" s="18"/>
      <c r="N44" s="27"/>
    </row>
    <row r="45" customFormat="false" ht="21.75" hidden="false" customHeight="true" outlineLevel="0" collapsed="false">
      <c r="A45" s="30" t="n">
        <v>41</v>
      </c>
      <c r="B45" s="18"/>
      <c r="C45" s="18"/>
      <c r="D45" s="31"/>
      <c r="E45" s="18"/>
      <c r="F45" s="18"/>
      <c r="G45" s="18" t="s">
        <v>274</v>
      </c>
      <c r="H45" s="32" t="n">
        <v>0</v>
      </c>
      <c r="I45" s="31"/>
      <c r="J45" s="31"/>
      <c r="K45" s="18"/>
      <c r="L45" s="18"/>
      <c r="M45" s="18"/>
      <c r="N45" s="27"/>
    </row>
    <row r="46" customFormat="false" ht="21.75" hidden="false" customHeight="true" outlineLevel="0" collapsed="false">
      <c r="A46" s="30" t="n">
        <v>42</v>
      </c>
      <c r="B46" s="18"/>
      <c r="C46" s="18"/>
      <c r="D46" s="31"/>
      <c r="E46" s="18"/>
      <c r="F46" s="18"/>
      <c r="G46" s="18" t="s">
        <v>274</v>
      </c>
      <c r="H46" s="32" t="n">
        <v>0</v>
      </c>
      <c r="I46" s="31"/>
      <c r="J46" s="31"/>
      <c r="K46" s="18"/>
      <c r="L46" s="18"/>
      <c r="M46" s="18"/>
      <c r="N46" s="27"/>
    </row>
    <row r="47" customFormat="false" ht="21.75" hidden="false" customHeight="true" outlineLevel="0" collapsed="false">
      <c r="A47" s="30" t="n">
        <v>43</v>
      </c>
      <c r="B47" s="18"/>
      <c r="C47" s="18"/>
      <c r="D47" s="31"/>
      <c r="E47" s="18"/>
      <c r="F47" s="18"/>
      <c r="G47" s="18" t="s">
        <v>274</v>
      </c>
      <c r="H47" s="32" t="n">
        <v>0</v>
      </c>
      <c r="I47" s="31"/>
      <c r="J47" s="31"/>
      <c r="K47" s="18"/>
      <c r="L47" s="18"/>
      <c r="M47" s="18"/>
      <c r="N47" s="27"/>
    </row>
    <row r="48" customFormat="false" ht="21.75" hidden="false" customHeight="true" outlineLevel="0" collapsed="false">
      <c r="A48" s="30" t="n">
        <v>44</v>
      </c>
      <c r="B48" s="18"/>
      <c r="C48" s="18"/>
      <c r="D48" s="31"/>
      <c r="E48" s="18"/>
      <c r="F48" s="18"/>
      <c r="G48" s="18" t="s">
        <v>274</v>
      </c>
      <c r="H48" s="32" t="n">
        <v>0</v>
      </c>
      <c r="I48" s="31"/>
      <c r="J48" s="31"/>
      <c r="K48" s="18"/>
      <c r="L48" s="18"/>
      <c r="M48" s="18"/>
      <c r="N48" s="27"/>
    </row>
    <row r="49" customFormat="false" ht="21.75" hidden="false" customHeight="true" outlineLevel="0" collapsed="false">
      <c r="A49" s="30" t="n">
        <v>45</v>
      </c>
      <c r="B49" s="18"/>
      <c r="C49" s="18"/>
      <c r="D49" s="31"/>
      <c r="E49" s="18"/>
      <c r="F49" s="18"/>
      <c r="G49" s="18" t="s">
        <v>274</v>
      </c>
      <c r="H49" s="32" t="n">
        <v>0</v>
      </c>
      <c r="I49" s="31"/>
      <c r="J49" s="31"/>
      <c r="K49" s="18"/>
      <c r="L49" s="18"/>
      <c r="M49" s="18"/>
      <c r="N49" s="27"/>
    </row>
    <row r="50" customFormat="false" ht="21.75" hidden="false" customHeight="true" outlineLevel="0" collapsed="false">
      <c r="A50" s="30" t="n">
        <v>46</v>
      </c>
      <c r="B50" s="18"/>
      <c r="C50" s="18"/>
      <c r="D50" s="31"/>
      <c r="E50" s="18"/>
      <c r="F50" s="18"/>
      <c r="G50" s="18" t="s">
        <v>274</v>
      </c>
      <c r="H50" s="32" t="n">
        <v>0</v>
      </c>
      <c r="I50" s="31"/>
      <c r="J50" s="31"/>
      <c r="K50" s="18"/>
      <c r="L50" s="18"/>
      <c r="M50" s="18"/>
      <c r="N50" s="27"/>
    </row>
    <row r="51" customFormat="false" ht="21.75" hidden="false" customHeight="true" outlineLevel="0" collapsed="false">
      <c r="A51" s="30" t="n">
        <v>47</v>
      </c>
      <c r="B51" s="18"/>
      <c r="C51" s="18"/>
      <c r="D51" s="31"/>
      <c r="E51" s="18"/>
      <c r="F51" s="18"/>
      <c r="G51" s="18" t="s">
        <v>274</v>
      </c>
      <c r="H51" s="32" t="n">
        <v>0</v>
      </c>
      <c r="I51" s="31"/>
      <c r="J51" s="31"/>
      <c r="K51" s="18"/>
      <c r="L51" s="18"/>
      <c r="M51" s="18"/>
      <c r="N51" s="27"/>
    </row>
    <row r="52" customFormat="false" ht="21.75" hidden="false" customHeight="true" outlineLevel="0" collapsed="false">
      <c r="A52" s="30" t="n">
        <v>48</v>
      </c>
      <c r="B52" s="18"/>
      <c r="C52" s="18"/>
      <c r="D52" s="31"/>
      <c r="E52" s="18"/>
      <c r="F52" s="18"/>
      <c r="G52" s="18" t="s">
        <v>274</v>
      </c>
      <c r="H52" s="32" t="n">
        <v>0</v>
      </c>
      <c r="I52" s="31"/>
      <c r="J52" s="31"/>
      <c r="K52" s="18"/>
      <c r="L52" s="18"/>
      <c r="M52" s="18"/>
      <c r="N52" s="27"/>
    </row>
    <row r="53" customFormat="false" ht="21.75" hidden="false" customHeight="true" outlineLevel="0" collapsed="false">
      <c r="A53" s="30" t="n">
        <v>49</v>
      </c>
      <c r="B53" s="18"/>
      <c r="C53" s="18"/>
      <c r="D53" s="31"/>
      <c r="E53" s="18"/>
      <c r="F53" s="18"/>
      <c r="G53" s="18" t="s">
        <v>274</v>
      </c>
      <c r="H53" s="32" t="n">
        <v>0</v>
      </c>
      <c r="I53" s="31"/>
      <c r="J53" s="31"/>
      <c r="K53" s="18"/>
      <c r="L53" s="18"/>
      <c r="M53" s="18"/>
      <c r="N53" s="27"/>
    </row>
    <row r="54" customFormat="false" ht="21.75" hidden="false" customHeight="true" outlineLevel="0" collapsed="false">
      <c r="A54" s="30" t="n">
        <v>50</v>
      </c>
      <c r="B54" s="18"/>
      <c r="C54" s="18"/>
      <c r="D54" s="31"/>
      <c r="E54" s="18"/>
      <c r="F54" s="18"/>
      <c r="G54" s="18" t="s">
        <v>274</v>
      </c>
      <c r="H54" s="32" t="n">
        <v>0</v>
      </c>
      <c r="I54" s="31"/>
      <c r="J54" s="31"/>
      <c r="K54" s="18"/>
      <c r="L54" s="18"/>
      <c r="M54" s="18"/>
      <c r="N54" s="27"/>
    </row>
    <row r="55" customFormat="false" ht="21.75" hidden="false" customHeight="true" outlineLevel="0" collapsed="false">
      <c r="A55" s="30" t="n">
        <v>51</v>
      </c>
      <c r="B55" s="18"/>
      <c r="C55" s="18"/>
      <c r="D55" s="31"/>
      <c r="E55" s="18"/>
      <c r="F55" s="18"/>
      <c r="G55" s="18" t="s">
        <v>274</v>
      </c>
      <c r="H55" s="32" t="n">
        <v>0</v>
      </c>
      <c r="I55" s="31"/>
      <c r="J55" s="31"/>
      <c r="K55" s="18"/>
      <c r="L55" s="18"/>
      <c r="M55" s="18"/>
      <c r="N55" s="27"/>
    </row>
    <row r="56" customFormat="false" ht="21.75" hidden="false" customHeight="true" outlineLevel="0" collapsed="false">
      <c r="A56" s="30" t="n">
        <v>52</v>
      </c>
      <c r="B56" s="18"/>
      <c r="C56" s="18"/>
      <c r="D56" s="31"/>
      <c r="E56" s="18"/>
      <c r="F56" s="18"/>
      <c r="G56" s="18" t="s">
        <v>274</v>
      </c>
      <c r="H56" s="32" t="n">
        <v>0</v>
      </c>
      <c r="I56" s="31"/>
      <c r="J56" s="31"/>
      <c r="K56" s="18"/>
      <c r="L56" s="18"/>
      <c r="M56" s="18"/>
      <c r="N56" s="27"/>
    </row>
    <row r="57" customFormat="false" ht="21.75" hidden="false" customHeight="true" outlineLevel="0" collapsed="false">
      <c r="A57" s="30" t="n">
        <v>53</v>
      </c>
      <c r="B57" s="18"/>
      <c r="C57" s="18"/>
      <c r="D57" s="31"/>
      <c r="E57" s="18"/>
      <c r="F57" s="18"/>
      <c r="G57" s="18" t="s">
        <v>274</v>
      </c>
      <c r="H57" s="32" t="n">
        <v>0</v>
      </c>
      <c r="I57" s="31"/>
      <c r="J57" s="31"/>
      <c r="K57" s="18"/>
      <c r="L57" s="18"/>
      <c r="M57" s="18"/>
      <c r="N57" s="27"/>
    </row>
    <row r="58" customFormat="false" ht="21.75" hidden="false" customHeight="true" outlineLevel="0" collapsed="false">
      <c r="A58" s="30" t="n">
        <v>54</v>
      </c>
      <c r="B58" s="18"/>
      <c r="C58" s="18"/>
      <c r="D58" s="31"/>
      <c r="E58" s="18"/>
      <c r="F58" s="18"/>
      <c r="G58" s="18" t="s">
        <v>274</v>
      </c>
      <c r="H58" s="32" t="n">
        <v>0</v>
      </c>
      <c r="I58" s="31"/>
      <c r="J58" s="31"/>
      <c r="K58" s="18"/>
      <c r="L58" s="18"/>
      <c r="M58" s="18"/>
      <c r="N58" s="27"/>
    </row>
    <row r="59" customFormat="false" ht="21.75" hidden="false" customHeight="true" outlineLevel="0" collapsed="false">
      <c r="A59" s="30" t="n">
        <v>55</v>
      </c>
      <c r="B59" s="18"/>
      <c r="C59" s="18"/>
      <c r="D59" s="31"/>
      <c r="E59" s="18"/>
      <c r="F59" s="18"/>
      <c r="G59" s="18" t="s">
        <v>274</v>
      </c>
      <c r="H59" s="32" t="n">
        <v>0</v>
      </c>
      <c r="I59" s="31"/>
      <c r="J59" s="31"/>
      <c r="K59" s="18"/>
      <c r="L59" s="18"/>
      <c r="M59" s="18"/>
      <c r="N59" s="27"/>
    </row>
    <row r="60" customFormat="false" ht="21.75" hidden="false" customHeight="true" outlineLevel="0" collapsed="false">
      <c r="A60" s="30" t="n">
        <v>56</v>
      </c>
      <c r="B60" s="18"/>
      <c r="C60" s="18"/>
      <c r="D60" s="31"/>
      <c r="E60" s="18"/>
      <c r="F60" s="18"/>
      <c r="G60" s="18" t="s">
        <v>274</v>
      </c>
      <c r="H60" s="32" t="n">
        <v>0</v>
      </c>
      <c r="I60" s="31"/>
      <c r="J60" s="31"/>
      <c r="K60" s="18"/>
      <c r="L60" s="18"/>
      <c r="M60" s="18"/>
      <c r="N60" s="27"/>
    </row>
    <row r="61" customFormat="false" ht="21.75" hidden="false" customHeight="true" outlineLevel="0" collapsed="false">
      <c r="A61" s="30" t="n">
        <v>57</v>
      </c>
      <c r="B61" s="18"/>
      <c r="C61" s="18"/>
      <c r="D61" s="31"/>
      <c r="E61" s="18"/>
      <c r="F61" s="18"/>
      <c r="G61" s="18" t="s">
        <v>274</v>
      </c>
      <c r="H61" s="32" t="n">
        <v>0</v>
      </c>
      <c r="I61" s="31"/>
      <c r="J61" s="31"/>
      <c r="K61" s="18"/>
      <c r="L61" s="18"/>
      <c r="M61" s="18"/>
      <c r="N61" s="27"/>
    </row>
    <row r="62" customFormat="false" ht="21.75" hidden="false" customHeight="true" outlineLevel="0" collapsed="false">
      <c r="A62" s="30" t="n">
        <v>58</v>
      </c>
      <c r="B62" s="18"/>
      <c r="C62" s="18"/>
      <c r="D62" s="31"/>
      <c r="E62" s="18"/>
      <c r="F62" s="18"/>
      <c r="G62" s="18" t="s">
        <v>274</v>
      </c>
      <c r="H62" s="32" t="n">
        <v>0</v>
      </c>
      <c r="I62" s="31"/>
      <c r="J62" s="31"/>
      <c r="K62" s="18"/>
      <c r="L62" s="18"/>
      <c r="M62" s="18"/>
      <c r="N62" s="27"/>
    </row>
    <row r="63" customFormat="false" ht="21.75" hidden="false" customHeight="true" outlineLevel="0" collapsed="false">
      <c r="A63" s="30" t="n">
        <v>59</v>
      </c>
      <c r="B63" s="18"/>
      <c r="C63" s="18"/>
      <c r="D63" s="31"/>
      <c r="E63" s="18"/>
      <c r="F63" s="18"/>
      <c r="G63" s="18" t="s">
        <v>274</v>
      </c>
      <c r="H63" s="32" t="n">
        <v>0</v>
      </c>
      <c r="I63" s="31"/>
      <c r="J63" s="31"/>
      <c r="K63" s="18"/>
      <c r="L63" s="18"/>
      <c r="M63" s="18"/>
      <c r="N63" s="27"/>
    </row>
    <row r="64" customFormat="false" ht="21.75" hidden="false" customHeight="true" outlineLevel="0" collapsed="false">
      <c r="A64" s="30" t="n">
        <v>60</v>
      </c>
      <c r="B64" s="18"/>
      <c r="C64" s="18"/>
      <c r="D64" s="31"/>
      <c r="E64" s="18"/>
      <c r="F64" s="18"/>
      <c r="G64" s="18" t="s">
        <v>274</v>
      </c>
      <c r="H64" s="32" t="n">
        <v>0</v>
      </c>
      <c r="I64" s="31"/>
      <c r="J64" s="31"/>
      <c r="K64" s="18"/>
      <c r="L64" s="18"/>
      <c r="M64" s="18"/>
      <c r="N64" s="27"/>
    </row>
    <row r="65" customFormat="false" ht="21.75" hidden="false" customHeight="true" outlineLevel="0" collapsed="false">
      <c r="A65" s="30" t="n">
        <v>61</v>
      </c>
      <c r="B65" s="18"/>
      <c r="C65" s="18"/>
      <c r="D65" s="31"/>
      <c r="E65" s="18"/>
      <c r="F65" s="18"/>
      <c r="G65" s="18" t="s">
        <v>274</v>
      </c>
      <c r="H65" s="32" t="n">
        <v>0</v>
      </c>
      <c r="I65" s="31"/>
      <c r="J65" s="31"/>
      <c r="K65" s="18"/>
      <c r="L65" s="18"/>
      <c r="M65" s="18"/>
      <c r="N65" s="27"/>
    </row>
    <row r="66" customFormat="false" ht="21.75" hidden="false" customHeight="true" outlineLevel="0" collapsed="false">
      <c r="A66" s="30" t="n">
        <v>62</v>
      </c>
      <c r="B66" s="18"/>
      <c r="C66" s="18"/>
      <c r="D66" s="31"/>
      <c r="E66" s="18"/>
      <c r="F66" s="18"/>
      <c r="G66" s="18" t="s">
        <v>274</v>
      </c>
      <c r="H66" s="32" t="n">
        <v>0</v>
      </c>
      <c r="I66" s="31"/>
      <c r="J66" s="31"/>
      <c r="K66" s="18"/>
      <c r="L66" s="18"/>
      <c r="M66" s="18"/>
      <c r="N66" s="27"/>
    </row>
    <row r="67" customFormat="false" ht="21.75" hidden="false" customHeight="true" outlineLevel="0" collapsed="false">
      <c r="A67" s="30" t="n">
        <v>63</v>
      </c>
      <c r="B67" s="18"/>
      <c r="C67" s="18"/>
      <c r="D67" s="31"/>
      <c r="E67" s="18"/>
      <c r="F67" s="18"/>
      <c r="G67" s="18" t="s">
        <v>274</v>
      </c>
      <c r="H67" s="32" t="n">
        <v>0</v>
      </c>
      <c r="I67" s="31"/>
      <c r="J67" s="31"/>
      <c r="K67" s="18"/>
      <c r="L67" s="18"/>
      <c r="M67" s="18"/>
      <c r="N67" s="27"/>
    </row>
    <row r="68" customFormat="false" ht="21.75" hidden="false" customHeight="true" outlineLevel="0" collapsed="false">
      <c r="A68" s="30" t="n">
        <v>64</v>
      </c>
      <c r="B68" s="18"/>
      <c r="C68" s="18"/>
      <c r="D68" s="31"/>
      <c r="E68" s="18"/>
      <c r="F68" s="18"/>
      <c r="G68" s="18" t="s">
        <v>274</v>
      </c>
      <c r="H68" s="32" t="n">
        <v>0</v>
      </c>
      <c r="I68" s="31"/>
      <c r="J68" s="31"/>
      <c r="K68" s="18"/>
      <c r="L68" s="18"/>
      <c r="M68" s="18"/>
      <c r="N68" s="27"/>
    </row>
    <row r="69" customFormat="false" ht="21.75" hidden="false" customHeight="true" outlineLevel="0" collapsed="false">
      <c r="A69" s="30" t="n">
        <v>65</v>
      </c>
      <c r="B69" s="18"/>
      <c r="C69" s="18"/>
      <c r="D69" s="31"/>
      <c r="E69" s="18"/>
      <c r="F69" s="18"/>
      <c r="G69" s="18" t="s">
        <v>274</v>
      </c>
      <c r="H69" s="32" t="n">
        <v>0</v>
      </c>
      <c r="I69" s="31"/>
      <c r="J69" s="31"/>
      <c r="K69" s="18"/>
      <c r="L69" s="18"/>
      <c r="M69" s="18"/>
      <c r="N69" s="27"/>
    </row>
    <row r="70" customFormat="false" ht="21.75" hidden="false" customHeight="true" outlineLevel="0" collapsed="false">
      <c r="A70" s="30" t="n">
        <v>66</v>
      </c>
      <c r="B70" s="18"/>
      <c r="C70" s="18"/>
      <c r="D70" s="31"/>
      <c r="E70" s="18"/>
      <c r="F70" s="18"/>
      <c r="G70" s="18" t="s">
        <v>274</v>
      </c>
      <c r="H70" s="32" t="n">
        <v>0</v>
      </c>
      <c r="I70" s="31"/>
      <c r="J70" s="31"/>
      <c r="K70" s="18"/>
      <c r="L70" s="18"/>
      <c r="M70" s="18"/>
      <c r="N70" s="27"/>
    </row>
    <row r="71" customFormat="false" ht="21.75" hidden="false" customHeight="true" outlineLevel="0" collapsed="false">
      <c r="A71" s="30" t="n">
        <v>67</v>
      </c>
      <c r="B71" s="18"/>
      <c r="C71" s="18"/>
      <c r="D71" s="31"/>
      <c r="E71" s="18"/>
      <c r="F71" s="18"/>
      <c r="G71" s="18" t="s">
        <v>274</v>
      </c>
      <c r="H71" s="32" t="n">
        <v>0</v>
      </c>
      <c r="I71" s="31"/>
      <c r="J71" s="31"/>
      <c r="K71" s="18"/>
      <c r="L71" s="18"/>
      <c r="M71" s="18"/>
      <c r="N71" s="27"/>
    </row>
    <row r="72" customFormat="false" ht="21.75" hidden="false" customHeight="true" outlineLevel="0" collapsed="false">
      <c r="A72" s="30" t="n">
        <v>68</v>
      </c>
      <c r="B72" s="18"/>
      <c r="C72" s="18"/>
      <c r="D72" s="31"/>
      <c r="E72" s="18"/>
      <c r="F72" s="18"/>
      <c r="G72" s="18" t="s">
        <v>274</v>
      </c>
      <c r="H72" s="32" t="n">
        <v>0</v>
      </c>
      <c r="I72" s="31"/>
      <c r="J72" s="31"/>
      <c r="K72" s="18"/>
      <c r="L72" s="18"/>
      <c r="M72" s="18"/>
      <c r="N72" s="27"/>
    </row>
    <row r="73" customFormat="false" ht="21.75" hidden="false" customHeight="true" outlineLevel="0" collapsed="false">
      <c r="A73" s="30" t="n">
        <v>69</v>
      </c>
      <c r="B73" s="18"/>
      <c r="C73" s="18"/>
      <c r="D73" s="31"/>
      <c r="E73" s="18"/>
      <c r="F73" s="18"/>
      <c r="G73" s="18" t="s">
        <v>274</v>
      </c>
      <c r="H73" s="32" t="n">
        <v>0</v>
      </c>
      <c r="I73" s="31"/>
      <c r="J73" s="31"/>
      <c r="K73" s="18"/>
      <c r="L73" s="18"/>
      <c r="M73" s="18"/>
      <c r="N73" s="27"/>
    </row>
    <row r="74" customFormat="false" ht="21.75" hidden="false" customHeight="true" outlineLevel="0" collapsed="false">
      <c r="A74" s="30" t="n">
        <v>70</v>
      </c>
      <c r="B74" s="18"/>
      <c r="C74" s="18"/>
      <c r="D74" s="31"/>
      <c r="E74" s="18"/>
      <c r="F74" s="18"/>
      <c r="G74" s="18" t="s">
        <v>274</v>
      </c>
      <c r="H74" s="32" t="n">
        <v>0</v>
      </c>
      <c r="I74" s="31"/>
      <c r="J74" s="31"/>
      <c r="K74" s="18"/>
      <c r="L74" s="18"/>
      <c r="M74" s="18"/>
      <c r="N74" s="27"/>
    </row>
    <row r="75" customFormat="false" ht="21.75" hidden="false" customHeight="true" outlineLevel="0" collapsed="false">
      <c r="A75" s="30" t="n">
        <v>71</v>
      </c>
      <c r="B75" s="18"/>
      <c r="C75" s="18"/>
      <c r="D75" s="31"/>
      <c r="E75" s="18"/>
      <c r="F75" s="18"/>
      <c r="G75" s="18" t="s">
        <v>274</v>
      </c>
      <c r="H75" s="32" t="n">
        <v>0</v>
      </c>
      <c r="I75" s="31"/>
      <c r="J75" s="31"/>
      <c r="K75" s="18"/>
      <c r="L75" s="18"/>
      <c r="M75" s="18"/>
      <c r="N75" s="27"/>
    </row>
    <row r="76" customFormat="false" ht="21.75" hidden="false" customHeight="true" outlineLevel="0" collapsed="false">
      <c r="A76" s="30" t="n">
        <v>72</v>
      </c>
      <c r="B76" s="18"/>
      <c r="C76" s="18"/>
      <c r="D76" s="31"/>
      <c r="E76" s="18"/>
      <c r="F76" s="18"/>
      <c r="G76" s="18" t="s">
        <v>274</v>
      </c>
      <c r="H76" s="32" t="n">
        <v>0</v>
      </c>
      <c r="I76" s="31"/>
      <c r="J76" s="31"/>
      <c r="K76" s="18"/>
      <c r="L76" s="18"/>
      <c r="M76" s="18"/>
      <c r="N76" s="27"/>
    </row>
    <row r="77" customFormat="false" ht="21.75" hidden="false" customHeight="true" outlineLevel="0" collapsed="false">
      <c r="A77" s="30" t="n">
        <v>73</v>
      </c>
      <c r="B77" s="18"/>
      <c r="C77" s="18"/>
      <c r="D77" s="31"/>
      <c r="E77" s="18"/>
      <c r="F77" s="18"/>
      <c r="G77" s="18" t="s">
        <v>274</v>
      </c>
      <c r="H77" s="32" t="n">
        <v>0</v>
      </c>
      <c r="I77" s="31"/>
      <c r="J77" s="31"/>
      <c r="K77" s="18"/>
      <c r="L77" s="18"/>
      <c r="M77" s="18"/>
      <c r="N77" s="27"/>
    </row>
    <row r="78" customFormat="false" ht="21.75" hidden="false" customHeight="true" outlineLevel="0" collapsed="false">
      <c r="A78" s="30" t="n">
        <v>74</v>
      </c>
      <c r="B78" s="18"/>
      <c r="C78" s="18"/>
      <c r="D78" s="31"/>
      <c r="E78" s="18"/>
      <c r="F78" s="18"/>
      <c r="G78" s="18" t="s">
        <v>274</v>
      </c>
      <c r="H78" s="32" t="n">
        <v>0</v>
      </c>
      <c r="I78" s="31"/>
      <c r="J78" s="31"/>
      <c r="K78" s="18"/>
      <c r="L78" s="18"/>
      <c r="M78" s="18"/>
      <c r="N78" s="27"/>
    </row>
    <row r="79" customFormat="false" ht="21.75" hidden="false" customHeight="true" outlineLevel="0" collapsed="false">
      <c r="A79" s="30" t="n">
        <v>75</v>
      </c>
      <c r="B79" s="18"/>
      <c r="C79" s="18"/>
      <c r="D79" s="31"/>
      <c r="E79" s="18"/>
      <c r="F79" s="18"/>
      <c r="G79" s="18" t="s">
        <v>274</v>
      </c>
      <c r="H79" s="32" t="n">
        <v>0</v>
      </c>
      <c r="I79" s="31"/>
      <c r="J79" s="31"/>
      <c r="K79" s="18"/>
      <c r="L79" s="18"/>
      <c r="M79" s="18"/>
      <c r="N79" s="27"/>
    </row>
    <row r="80" customFormat="false" ht="21.75" hidden="false" customHeight="true" outlineLevel="0" collapsed="false">
      <c r="A80" s="30" t="n">
        <v>76</v>
      </c>
      <c r="B80" s="18"/>
      <c r="C80" s="18"/>
      <c r="D80" s="31"/>
      <c r="E80" s="18"/>
      <c r="F80" s="18"/>
      <c r="G80" s="18" t="s">
        <v>274</v>
      </c>
      <c r="H80" s="32" t="n">
        <v>0</v>
      </c>
      <c r="I80" s="31"/>
      <c r="J80" s="31"/>
      <c r="K80" s="18"/>
      <c r="L80" s="18"/>
      <c r="M80" s="18"/>
      <c r="N80" s="27"/>
    </row>
    <row r="81" customFormat="false" ht="21.75" hidden="false" customHeight="true" outlineLevel="0" collapsed="false">
      <c r="A81" s="30" t="n">
        <v>77</v>
      </c>
      <c r="B81" s="18"/>
      <c r="C81" s="18"/>
      <c r="D81" s="31"/>
      <c r="E81" s="18"/>
      <c r="F81" s="18"/>
      <c r="G81" s="18" t="s">
        <v>274</v>
      </c>
      <c r="H81" s="32" t="n">
        <v>0</v>
      </c>
      <c r="I81" s="31"/>
      <c r="J81" s="31"/>
      <c r="K81" s="18"/>
      <c r="L81" s="18"/>
      <c r="M81" s="18"/>
      <c r="N81" s="27"/>
    </row>
    <row r="82" customFormat="false" ht="21.75" hidden="false" customHeight="true" outlineLevel="0" collapsed="false">
      <c r="A82" s="30" t="n">
        <v>78</v>
      </c>
      <c r="B82" s="18"/>
      <c r="C82" s="18"/>
      <c r="D82" s="31"/>
      <c r="E82" s="18"/>
      <c r="F82" s="18"/>
      <c r="G82" s="18" t="s">
        <v>274</v>
      </c>
      <c r="H82" s="32" t="n">
        <v>0</v>
      </c>
      <c r="I82" s="31"/>
      <c r="J82" s="31"/>
      <c r="K82" s="18"/>
      <c r="L82" s="18"/>
      <c r="M82" s="18"/>
      <c r="N82" s="27"/>
    </row>
    <row r="83" customFormat="false" ht="21.75" hidden="false" customHeight="true" outlineLevel="0" collapsed="false">
      <c r="A83" s="30" t="n">
        <v>79</v>
      </c>
      <c r="B83" s="18"/>
      <c r="C83" s="18"/>
      <c r="D83" s="31"/>
      <c r="E83" s="18"/>
      <c r="F83" s="18"/>
      <c r="G83" s="18" t="s">
        <v>274</v>
      </c>
      <c r="H83" s="32" t="n">
        <v>0</v>
      </c>
      <c r="I83" s="31"/>
      <c r="J83" s="31"/>
      <c r="K83" s="18"/>
      <c r="L83" s="18"/>
      <c r="M83" s="18"/>
      <c r="N83" s="27"/>
    </row>
    <row r="84" customFormat="false" ht="21.75" hidden="false" customHeight="true" outlineLevel="0" collapsed="false">
      <c r="A84" s="30" t="n">
        <v>80</v>
      </c>
      <c r="B84" s="18"/>
      <c r="C84" s="18"/>
      <c r="D84" s="31"/>
      <c r="E84" s="18"/>
      <c r="F84" s="18"/>
      <c r="G84" s="18" t="s">
        <v>274</v>
      </c>
      <c r="H84" s="32" t="n">
        <v>0</v>
      </c>
      <c r="I84" s="31"/>
      <c r="J84" s="31"/>
      <c r="K84" s="18"/>
      <c r="L84" s="18"/>
      <c r="M84" s="18"/>
      <c r="N84" s="27"/>
    </row>
    <row r="85" customFormat="false" ht="21.75" hidden="false" customHeight="true" outlineLevel="0" collapsed="false">
      <c r="A85" s="30" t="n">
        <v>81</v>
      </c>
      <c r="B85" s="18"/>
      <c r="C85" s="18"/>
      <c r="D85" s="31"/>
      <c r="E85" s="18"/>
      <c r="F85" s="18"/>
      <c r="G85" s="18" t="s">
        <v>274</v>
      </c>
      <c r="H85" s="32" t="n">
        <v>0</v>
      </c>
      <c r="I85" s="31"/>
      <c r="J85" s="31"/>
      <c r="K85" s="18"/>
      <c r="L85" s="18"/>
      <c r="M85" s="18"/>
      <c r="N85" s="27"/>
    </row>
    <row r="86" customFormat="false" ht="21.75" hidden="false" customHeight="true" outlineLevel="0" collapsed="false">
      <c r="A86" s="30" t="n">
        <v>82</v>
      </c>
      <c r="B86" s="18"/>
      <c r="C86" s="18"/>
      <c r="D86" s="31"/>
      <c r="E86" s="18"/>
      <c r="F86" s="18"/>
      <c r="G86" s="18" t="s">
        <v>274</v>
      </c>
      <c r="H86" s="32" t="n">
        <v>0</v>
      </c>
      <c r="I86" s="31"/>
      <c r="J86" s="31"/>
      <c r="K86" s="18"/>
      <c r="L86" s="18"/>
      <c r="M86" s="18"/>
      <c r="N86" s="27"/>
    </row>
    <row r="87" customFormat="false" ht="21.75" hidden="false" customHeight="true" outlineLevel="0" collapsed="false">
      <c r="A87" s="30" t="n">
        <v>83</v>
      </c>
      <c r="B87" s="18"/>
      <c r="C87" s="18"/>
      <c r="D87" s="31"/>
      <c r="E87" s="18"/>
      <c r="F87" s="18"/>
      <c r="G87" s="18" t="s">
        <v>274</v>
      </c>
      <c r="H87" s="32" t="n">
        <v>0</v>
      </c>
      <c r="I87" s="31"/>
      <c r="J87" s="31"/>
      <c r="K87" s="18"/>
      <c r="L87" s="18"/>
      <c r="M87" s="18"/>
      <c r="N87" s="27"/>
    </row>
    <row r="88" customFormat="false" ht="21.75" hidden="false" customHeight="true" outlineLevel="0" collapsed="false">
      <c r="A88" s="30" t="n">
        <v>84</v>
      </c>
      <c r="B88" s="18"/>
      <c r="C88" s="18"/>
      <c r="D88" s="31"/>
      <c r="E88" s="18"/>
      <c r="F88" s="18"/>
      <c r="G88" s="18" t="s">
        <v>274</v>
      </c>
      <c r="H88" s="32" t="n">
        <v>0</v>
      </c>
      <c r="I88" s="31"/>
      <c r="J88" s="31"/>
      <c r="K88" s="18"/>
      <c r="L88" s="18"/>
      <c r="M88" s="18"/>
      <c r="N88" s="27"/>
    </row>
    <row r="89" customFormat="false" ht="21.75" hidden="false" customHeight="true" outlineLevel="0" collapsed="false">
      <c r="A89" s="30" t="n">
        <v>85</v>
      </c>
      <c r="B89" s="18"/>
      <c r="C89" s="18"/>
      <c r="D89" s="31"/>
      <c r="E89" s="18"/>
      <c r="F89" s="18"/>
      <c r="G89" s="18" t="s">
        <v>274</v>
      </c>
      <c r="H89" s="32" t="n">
        <v>0</v>
      </c>
      <c r="I89" s="31"/>
      <c r="J89" s="31"/>
      <c r="K89" s="18"/>
      <c r="L89" s="18"/>
      <c r="M89" s="18"/>
      <c r="N89" s="27"/>
    </row>
    <row r="90" customFormat="false" ht="21.75" hidden="false" customHeight="true" outlineLevel="0" collapsed="false">
      <c r="A90" s="30" t="n">
        <v>86</v>
      </c>
      <c r="B90" s="18"/>
      <c r="C90" s="18"/>
      <c r="D90" s="31"/>
      <c r="E90" s="18"/>
      <c r="F90" s="18"/>
      <c r="G90" s="18" t="s">
        <v>274</v>
      </c>
      <c r="H90" s="32" t="n">
        <v>0</v>
      </c>
      <c r="I90" s="31"/>
      <c r="J90" s="31"/>
      <c r="K90" s="18"/>
      <c r="L90" s="18"/>
      <c r="M90" s="18"/>
      <c r="N90" s="27"/>
    </row>
    <row r="91" customFormat="false" ht="21.75" hidden="false" customHeight="true" outlineLevel="0" collapsed="false">
      <c r="A91" s="30" t="n">
        <v>87</v>
      </c>
      <c r="B91" s="18"/>
      <c r="C91" s="18"/>
      <c r="D91" s="31"/>
      <c r="E91" s="18"/>
      <c r="F91" s="18"/>
      <c r="G91" s="18" t="s">
        <v>274</v>
      </c>
      <c r="H91" s="32" t="n">
        <v>0</v>
      </c>
      <c r="I91" s="31"/>
      <c r="J91" s="31"/>
      <c r="K91" s="18"/>
      <c r="L91" s="18"/>
      <c r="M91" s="18"/>
      <c r="N91" s="27"/>
    </row>
    <row r="92" customFormat="false" ht="21.75" hidden="false" customHeight="true" outlineLevel="0" collapsed="false">
      <c r="A92" s="30" t="n">
        <v>88</v>
      </c>
      <c r="B92" s="18"/>
      <c r="C92" s="18"/>
      <c r="D92" s="31"/>
      <c r="E92" s="18"/>
      <c r="F92" s="18"/>
      <c r="G92" s="18" t="s">
        <v>274</v>
      </c>
      <c r="H92" s="32" t="n">
        <v>0</v>
      </c>
      <c r="I92" s="31"/>
      <c r="J92" s="31"/>
      <c r="K92" s="18"/>
      <c r="L92" s="18"/>
      <c r="M92" s="18"/>
      <c r="N92" s="27"/>
    </row>
    <row r="93" customFormat="false" ht="21.75" hidden="false" customHeight="true" outlineLevel="0" collapsed="false">
      <c r="A93" s="30" t="n">
        <v>89</v>
      </c>
      <c r="B93" s="18"/>
      <c r="C93" s="18"/>
      <c r="D93" s="31"/>
      <c r="E93" s="18"/>
      <c r="F93" s="18"/>
      <c r="G93" s="18" t="s">
        <v>274</v>
      </c>
      <c r="H93" s="32" t="n">
        <v>0</v>
      </c>
      <c r="I93" s="31"/>
      <c r="J93" s="31"/>
      <c r="K93" s="18"/>
      <c r="L93" s="18"/>
      <c r="M93" s="18"/>
      <c r="N93" s="27"/>
    </row>
    <row r="94" customFormat="false" ht="21.75" hidden="false" customHeight="true" outlineLevel="0" collapsed="false">
      <c r="A94" s="30" t="n">
        <v>90</v>
      </c>
      <c r="B94" s="18"/>
      <c r="C94" s="18"/>
      <c r="D94" s="31"/>
      <c r="E94" s="18"/>
      <c r="F94" s="18"/>
      <c r="G94" s="18" t="s">
        <v>274</v>
      </c>
      <c r="H94" s="32" t="n">
        <v>0</v>
      </c>
      <c r="I94" s="31"/>
      <c r="J94" s="31"/>
      <c r="K94" s="18"/>
      <c r="L94" s="18"/>
      <c r="M94" s="18"/>
      <c r="N94" s="27"/>
    </row>
    <row r="95" customFormat="false" ht="21.75" hidden="false" customHeight="true" outlineLevel="0" collapsed="false">
      <c r="A95" s="30" t="n">
        <v>91</v>
      </c>
      <c r="B95" s="18"/>
      <c r="C95" s="18"/>
      <c r="D95" s="31"/>
      <c r="E95" s="18"/>
      <c r="F95" s="18"/>
      <c r="G95" s="18" t="s">
        <v>274</v>
      </c>
      <c r="H95" s="32" t="n">
        <v>0</v>
      </c>
      <c r="I95" s="31"/>
      <c r="J95" s="31"/>
      <c r="K95" s="18"/>
      <c r="L95" s="18"/>
      <c r="M95" s="18"/>
      <c r="N95" s="27"/>
    </row>
    <row r="96" customFormat="false" ht="21.75" hidden="false" customHeight="true" outlineLevel="0" collapsed="false">
      <c r="A96" s="30" t="n">
        <v>92</v>
      </c>
      <c r="B96" s="18"/>
      <c r="C96" s="18"/>
      <c r="D96" s="31"/>
      <c r="E96" s="18"/>
      <c r="F96" s="18"/>
      <c r="G96" s="18" t="s">
        <v>274</v>
      </c>
      <c r="H96" s="32" t="n">
        <v>0</v>
      </c>
      <c r="I96" s="31"/>
      <c r="J96" s="31"/>
      <c r="K96" s="18"/>
      <c r="L96" s="18"/>
      <c r="M96" s="18"/>
      <c r="N96" s="27"/>
    </row>
    <row r="97" customFormat="false" ht="21.75" hidden="false" customHeight="true" outlineLevel="0" collapsed="false">
      <c r="A97" s="30" t="n">
        <v>93</v>
      </c>
      <c r="B97" s="18"/>
      <c r="C97" s="18"/>
      <c r="D97" s="31"/>
      <c r="E97" s="18"/>
      <c r="F97" s="18"/>
      <c r="G97" s="18" t="s">
        <v>274</v>
      </c>
      <c r="H97" s="32" t="n">
        <v>0</v>
      </c>
      <c r="I97" s="31"/>
      <c r="J97" s="31"/>
      <c r="K97" s="18"/>
      <c r="L97" s="18"/>
      <c r="M97" s="18"/>
      <c r="N97" s="27"/>
    </row>
    <row r="98" customFormat="false" ht="21.75" hidden="false" customHeight="true" outlineLevel="0" collapsed="false">
      <c r="A98" s="30" t="n">
        <v>94</v>
      </c>
      <c r="B98" s="18"/>
      <c r="C98" s="18"/>
      <c r="D98" s="31"/>
      <c r="E98" s="18"/>
      <c r="F98" s="18"/>
      <c r="G98" s="18" t="s">
        <v>274</v>
      </c>
      <c r="H98" s="32" t="n">
        <v>0</v>
      </c>
      <c r="I98" s="31"/>
      <c r="J98" s="31"/>
      <c r="K98" s="18"/>
      <c r="L98" s="18"/>
      <c r="M98" s="18"/>
      <c r="N98" s="27"/>
    </row>
    <row r="99" customFormat="false" ht="21.75" hidden="false" customHeight="true" outlineLevel="0" collapsed="false">
      <c r="A99" s="30" t="n">
        <v>95</v>
      </c>
      <c r="B99" s="18"/>
      <c r="C99" s="18"/>
      <c r="D99" s="31"/>
      <c r="E99" s="18"/>
      <c r="F99" s="18"/>
      <c r="G99" s="18" t="s">
        <v>274</v>
      </c>
      <c r="H99" s="32" t="n">
        <v>0</v>
      </c>
      <c r="I99" s="31"/>
      <c r="J99" s="31"/>
      <c r="K99" s="18"/>
      <c r="L99" s="18"/>
      <c r="M99" s="18"/>
      <c r="N99" s="27"/>
    </row>
    <row r="100" customFormat="false" ht="21.75" hidden="false" customHeight="true" outlineLevel="0" collapsed="false">
      <c r="A100" s="30" t="n">
        <v>96</v>
      </c>
      <c r="B100" s="18"/>
      <c r="C100" s="18"/>
      <c r="D100" s="31"/>
      <c r="E100" s="18"/>
      <c r="F100" s="18"/>
      <c r="G100" s="18" t="s">
        <v>274</v>
      </c>
      <c r="H100" s="32" t="n">
        <v>0</v>
      </c>
      <c r="I100" s="31"/>
      <c r="J100" s="31"/>
      <c r="K100" s="18"/>
      <c r="L100" s="18"/>
      <c r="M100" s="18"/>
      <c r="N100" s="27"/>
    </row>
    <row r="101" customFormat="false" ht="21.75" hidden="false" customHeight="true" outlineLevel="0" collapsed="false">
      <c r="A101" s="30" t="n">
        <v>97</v>
      </c>
      <c r="B101" s="18"/>
      <c r="C101" s="18"/>
      <c r="D101" s="31"/>
      <c r="E101" s="18"/>
      <c r="F101" s="18"/>
      <c r="G101" s="18" t="s">
        <v>274</v>
      </c>
      <c r="H101" s="32" t="n">
        <v>0</v>
      </c>
      <c r="I101" s="31"/>
      <c r="J101" s="31"/>
      <c r="K101" s="18"/>
      <c r="L101" s="18"/>
      <c r="M101" s="18"/>
      <c r="N101" s="27"/>
    </row>
    <row r="102" customFormat="false" ht="21.75" hidden="false" customHeight="true" outlineLevel="0" collapsed="false">
      <c r="A102" s="30" t="n">
        <v>98</v>
      </c>
      <c r="B102" s="18"/>
      <c r="C102" s="18"/>
      <c r="D102" s="31"/>
      <c r="E102" s="18"/>
      <c r="F102" s="18"/>
      <c r="G102" s="18" t="s">
        <v>274</v>
      </c>
      <c r="H102" s="32" t="n">
        <v>0</v>
      </c>
      <c r="I102" s="31"/>
      <c r="J102" s="31"/>
      <c r="K102" s="18"/>
      <c r="L102" s="18"/>
      <c r="M102" s="18"/>
      <c r="N102" s="27"/>
    </row>
    <row r="103" customFormat="false" ht="21.75" hidden="false" customHeight="true" outlineLevel="0" collapsed="false">
      <c r="A103" s="30" t="n">
        <v>99</v>
      </c>
      <c r="B103" s="18"/>
      <c r="C103" s="18"/>
      <c r="D103" s="31"/>
      <c r="E103" s="18"/>
      <c r="F103" s="18"/>
      <c r="G103" s="18" t="s">
        <v>274</v>
      </c>
      <c r="H103" s="32" t="n">
        <v>0</v>
      </c>
      <c r="I103" s="31"/>
      <c r="J103" s="31"/>
      <c r="K103" s="18"/>
      <c r="L103" s="18"/>
      <c r="M103" s="18"/>
      <c r="N103" s="27"/>
    </row>
    <row r="104" customFormat="false" ht="21.75" hidden="false" customHeight="true" outlineLevel="0" collapsed="false">
      <c r="A104" s="30" t="n">
        <v>100</v>
      </c>
      <c r="B104" s="18"/>
      <c r="C104" s="18"/>
      <c r="D104" s="31"/>
      <c r="E104" s="18"/>
      <c r="F104" s="18"/>
      <c r="G104" s="18" t="s">
        <v>274</v>
      </c>
      <c r="H104" s="32" t="n">
        <v>0</v>
      </c>
      <c r="I104" s="31"/>
      <c r="J104" s="31"/>
      <c r="K104" s="18"/>
      <c r="L104" s="18"/>
      <c r="M104" s="18"/>
    </row>
    <row r="105" customFormat="false" ht="594.75" hidden="false" customHeight="false" outlineLevel="0" collapsed="false">
      <c r="A105" s="33" t="s">
        <v>275</v>
      </c>
    </row>
    <row r="106" customFormat="false" ht="149.25" hidden="false" customHeight="false" outlineLevel="0" collapsed="false">
      <c r="A106" s="0" t="s">
        <v>276</v>
      </c>
      <c r="B106" s="12" t="s">
        <v>277</v>
      </c>
    </row>
  </sheetData>
  <autoFilter ref="A4:M104"/>
  <mergeCells count="2">
    <mergeCell ref="A1:J1"/>
    <mergeCell ref="A2:J2"/>
  </mergeCells>
  <conditionalFormatting sqref="G5:G104">
    <cfRule type="expression" priority="2" aboveAverage="0" equalAverage="0" bottom="0" percent="0" rank="0" text="" dxfId="8">
      <formula>G5="Ordered"</formula>
    </cfRule>
    <cfRule type="expression" priority="3" aboveAverage="0" equalAverage="0" bottom="0" percent="0" rank="0" text="" dxfId="7">
      <formula>G5="Delivered"</formula>
    </cfRule>
    <cfRule type="expression" priority="4" aboveAverage="0" equalAverage="0" bottom="0" percent="0" rank="0" text="" dxfId="9">
      <formula>G5="Lost"</formula>
    </cfRule>
  </conditionalFormatting>
  <conditionalFormatting sqref="J5:J104">
    <cfRule type="expression" priority="5" aboveAverage="0" equalAverage="0" bottom="0" percent="0" rank="0" text="" dxfId="9">
      <formula>J5="Returned"</formula>
    </cfRule>
  </conditionalFormatting>
  <dataValidations count="4">
    <dataValidation allowBlank="false" errorStyle="stop" operator="between" showDropDown="false" showErrorMessage="false" showInputMessage="false" sqref="G5:G104" type="list">
      <formula1>"Lead,Interested,Quoted,Ordered,Delivered,Lost"</formula1>
      <formula2>0</formula2>
    </dataValidation>
    <dataValidation allowBlank="false" errorStyle="stop" operator="between" showDropDown="false" showErrorMessage="false" showInputMessage="false" sqref="I5:I104" type="list">
      <formula1>"COD,Prepaid,Transfer,Card"</formula1>
      <formula2>0</formula2>
    </dataValidation>
    <dataValidation allowBlank="false" errorStyle="stop" operator="between" showDropDown="false" showErrorMessage="false" showInputMessage="false" sqref="J5:J104" type="list">
      <formula1>"Pending,Dispatched,Delivered,Returned,Cancelled"</formula1>
      <formula2>0</formula2>
    </dataValidation>
    <dataValidation allowBlank="false" errorStyle="stop" operator="between" showDropDown="false" showErrorMessage="false" showInputMessage="false" sqref="D5:D104" type="list">
      <formula1>"Instagram,TikTok,WhatsApp,Facebook,Artist page,Popup,Referral,Friend"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2026-03-07T16:01:58Z</dcterms:created>
  <dc:creator>openpyxl</dc:creator>
  <dc:description/>
  <dc:language>en-US</dc:language>
  <cp:lastModifiedBy/>
  <dcterms:modified xsi:type="dcterms:W3CDTF">2026-03-07T20:17:33Z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