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arch Completed, Ready for Q" sheetId="1" r:id="rId5"/>
    <sheet state="visible" name="Chart1 Variable Cost Breakdown " sheetId="2" r:id="rId6"/>
  </sheets>
  <definedNames/>
  <calcPr/>
</workbook>
</file>

<file path=xl/sharedStrings.xml><?xml version="1.0" encoding="utf-8"?>
<sst xmlns="http://schemas.openxmlformats.org/spreadsheetml/2006/main" count="47" uniqueCount="38">
  <si>
    <t>Cost Component</t>
  </si>
  <si>
    <t>Estimate (EGP)</t>
  </si>
  <si>
    <t>Notes</t>
  </si>
  <si>
    <t>Blank T-Shirt (Giza 94)</t>
  </si>
  <si>
    <t>High-quality wholesale price.</t>
  </si>
  <si>
    <t>DTF Print &amp; Pressing</t>
  </si>
  <si>
    <t>Includes film, ink, power, labor depreciation.</t>
  </si>
  <si>
    <t>Packaging (Box + Stickers)</t>
  </si>
  <si>
    <t>"Unboxing experience" is marketing.</t>
  </si>
  <si>
    <t>Tags &amp; Labels</t>
  </si>
  <si>
    <t>Neck label, swing tag.</t>
  </si>
  <si>
    <t>Total COGS</t>
  </si>
  <si>
    <t>Cost of Goods Sold</t>
  </si>
  <si>
    <t>Marketing (CPA)</t>
  </si>
  <si>
    <t>Blended Cost Per Acquisition (Paid + Influencer).</t>
  </si>
  <si>
    <t>Shipping Subsidy</t>
  </si>
  <si>
    <t>Assuming brand absorbs part of shipping or returns.</t>
  </si>
  <si>
    <t>Payment/Platform Fees</t>
  </si>
  <si>
    <t>Shopify + Payment Gateway fees.</t>
  </si>
  <si>
    <t>Total Variable Cost</t>
  </si>
  <si>
    <t>Break-even point per unit.</t>
  </si>
  <si>
    <t xml:space="preserve">Retail Price: </t>
  </si>
  <si>
    <t xml:space="preserve">Gross Profit: </t>
  </si>
  <si>
    <t xml:space="preserve">Contribution Margin: </t>
  </si>
  <si>
    <t xml:space="preserve">fixed cost </t>
  </si>
  <si>
    <t xml:space="preserve">misc overhead + salaries </t>
  </si>
  <si>
    <t xml:space="preserve">Break-Even Volume: </t>
  </si>
  <si>
    <t xml:space="preserve">monthly </t>
  </si>
  <si>
    <t xml:space="preserve">other costs </t>
  </si>
  <si>
    <t xml:space="preserve">web site and domain </t>
  </si>
  <si>
    <t xml:space="preserve">web site design </t>
  </si>
  <si>
    <t>Design Art</t>
  </si>
  <si>
    <t xml:space="preserve">stock and storing </t>
  </si>
  <si>
    <t xml:space="preserve">Branding </t>
  </si>
  <si>
    <t xml:space="preserve">modeling </t>
  </si>
  <si>
    <t>Contribution Margin: EGP 230 (27% Net Margin per unit before fixed costs).</t>
  </si>
  <si>
    <t>Analysis: At EGP 850, the brand is positioned as "Premium Streetwear." 
If the price drops below EGP 700, margins become dangerously thin given the high CPA in fashion. 
The brand must justify the EGP 850 price tag through superior branding, packaging, and fabric quality.</t>
  </si>
  <si>
    <t>Feasibility: Selling 3 shirts a day is a realistic target for a launch month with proper ad spend.</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</si>
</sst>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b/>
      <sz val="13.0"/>
      <color theme="1"/>
      <name val="Arial"/>
      <scheme val="minor"/>
    </font>
    <font>
      <color rgb="FF000000"/>
      <name val="Arial"/>
      <scheme val="minor"/>
    </font>
    <font>
      <b/>
      <sz val="12.0"/>
      <color rgb="FF000000"/>
      <name val="&quot;Google Sans Flex&quot;"/>
    </font>
    <font>
      <b/>
      <i/>
      <sz val="12.0"/>
      <color rgb="FF000000"/>
      <name val="&quot;Google Sans Flex&quot;"/>
    </font>
    <font>
      <sz val="12.0"/>
      <color rgb="FF000000"/>
      <name val="&quot;Google Sans Flex&quot;"/>
    </font>
    <font>
      <i/>
      <sz val="12.0"/>
      <color rgb="FF000000"/>
      <name val="&quot;Google Sans Flex&quot;"/>
    </font>
  </fonts>
  <fills count="2">
    <fill>
      <patternFill patternType="none"/>
    </fill>
    <fill>
      <patternFill patternType="lightGray"/>
    </fill>
  </fills>
  <borders count="7">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horizontal="center" readingOrder="0"/>
    </xf>
    <xf borderId="1" fillId="0" fontId="2" numFmtId="0" xfId="0" applyAlignment="1" applyBorder="1" applyFont="1">
      <alignment horizontal="center" readingOrder="0"/>
    </xf>
    <xf borderId="2" fillId="0" fontId="1" numFmtId="0" xfId="0" applyAlignment="1" applyBorder="1" applyFont="1">
      <alignment horizontal="center" readingOrder="0"/>
    </xf>
    <xf borderId="0" fillId="0" fontId="2" numFmtId="0" xfId="0" applyAlignment="1" applyFont="1">
      <alignment horizontal="center" readingOrder="0"/>
    </xf>
    <xf borderId="3" fillId="0" fontId="2" numFmtId="0" xfId="0" applyAlignment="1" applyBorder="1" applyFont="1">
      <alignment horizontal="center" readingOrder="0"/>
    </xf>
    <xf borderId="2" fillId="0" fontId="1" numFmtId="0" xfId="0" applyAlignment="1" applyBorder="1" applyFont="1">
      <alignment horizontal="center"/>
    </xf>
    <xf borderId="0" fillId="0" fontId="2" numFmtId="0" xfId="0" applyAlignment="1" applyFont="1">
      <alignment horizontal="center"/>
    </xf>
    <xf borderId="3" fillId="0" fontId="2" numFmtId="0" xfId="0" applyAlignment="1" applyBorder="1" applyFont="1">
      <alignment horizontal="center"/>
    </xf>
    <xf borderId="4" fillId="0" fontId="1" numFmtId="0" xfId="0" applyAlignment="1" applyBorder="1" applyFont="1">
      <alignment horizontal="center" readingOrder="0"/>
    </xf>
    <xf borderId="5" fillId="0" fontId="2" numFmtId="0" xfId="0" applyAlignment="1" applyBorder="1" applyFont="1">
      <alignment horizontal="center" readingOrder="0"/>
    </xf>
    <xf borderId="6" fillId="0" fontId="2" numFmtId="0" xfId="0" applyAlignment="1" applyBorder="1" applyFont="1">
      <alignment horizontal="center" readingOrder="0"/>
    </xf>
    <xf borderId="0" fillId="0" fontId="1" numFmtId="0" xfId="0" applyAlignment="1" applyFont="1">
      <alignment horizontal="center" readingOrder="0"/>
    </xf>
    <xf borderId="3" fillId="0" fontId="1" numFmtId="0" xfId="0" applyAlignment="1" applyBorder="1" applyFont="1">
      <alignment horizontal="center"/>
    </xf>
    <xf borderId="1" fillId="0" fontId="3" numFmtId="0" xfId="0" applyAlignment="1" applyBorder="1" applyFont="1">
      <alignment horizontal="center" readingOrder="0"/>
    </xf>
    <xf borderId="1" fillId="0" fontId="3" numFmtId="0" xfId="0" applyAlignment="1" applyBorder="1" applyFont="1">
      <alignment horizontal="center"/>
    </xf>
    <xf borderId="1" fillId="0" fontId="2" numFmtId="0" xfId="0" applyAlignment="1" applyBorder="1" applyFont="1">
      <alignment horizontal="center"/>
    </xf>
    <xf borderId="1" fillId="0" fontId="4" numFmtId="0" xfId="0" applyAlignment="1" applyBorder="1" applyFont="1">
      <alignment horizontal="center"/>
    </xf>
    <xf borderId="0" fillId="0" fontId="4" numFmtId="0" xfId="0" applyFont="1"/>
    <xf borderId="1" fillId="0" fontId="4" numFmtId="0" xfId="0" applyBorder="1" applyFont="1"/>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2"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Chart1 Variable Cost Breakdown -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Variable Cost Breakdown by Component (EGP)</a:t>
            </a:r>
          </a:p>
        </c:rich>
      </c:tx>
      <c:overlay val="0"/>
    </c:title>
    <c:plotArea>
      <c:layout/>
      <c:pieChart>
        <c:varyColors val="1"/>
        <c:ser>
          <c:idx val="0"/>
          <c:order val="0"/>
          <c:tx>
            <c:strRef>
              <c:f>'Chart1 Variable Cost Breakdown '!$B$3</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Lbls>
            <c:showLegendKey val="0"/>
            <c:showVal val="0"/>
            <c:showCatName val="0"/>
            <c:showSerName val="0"/>
            <c:showPercent val="0"/>
            <c:showBubbleSize val="0"/>
            <c:showLeaderLines val="1"/>
          </c:dLbls>
          <c:cat>
            <c:strRef>
              <c:f>'Chart1 Variable Cost Breakdown '!$A$4:$A$10</c:f>
            </c:strRef>
          </c:cat>
          <c:val>
            <c:numRef>
              <c:f>'Chart1 Variable Cost Breakdown '!$B$4:$B$10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chart>
  <c:spPr>
    <a:solidFill>
      <a:srgbClr val="F0F4F9"/>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3:B10" displayName="Variable_Cost_Breakdown_by_Component_EGP_" name="Variable_Cost_Breakdown_by_Component_EGP_" id="1">
  <tableColumns count="2">
    <tableColumn name="Cost Component" id="1"/>
    <tableColumn name="Estimate (EGP)" id="2"/>
  </tableColumns>
  <tableStyleInfo name="Chart1 Variable Cost Breakdown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14.38"/>
    <col customWidth="1" min="3" max="3" width="39.25"/>
  </cols>
  <sheetData>
    <row r="1">
      <c r="A1" s="1" t="s">
        <v>0</v>
      </c>
      <c r="B1" s="2" t="s">
        <v>1</v>
      </c>
      <c r="C1" s="2" t="s">
        <v>2</v>
      </c>
    </row>
    <row r="2">
      <c r="A2" s="3" t="s">
        <v>3</v>
      </c>
      <c r="B2" s="4">
        <v>250.0</v>
      </c>
      <c r="C2" s="5" t="s">
        <v>4</v>
      </c>
    </row>
    <row r="3">
      <c r="A3" s="3" t="s">
        <v>5</v>
      </c>
      <c r="B3" s="4">
        <v>75.0</v>
      </c>
      <c r="C3" s="5" t="s">
        <v>6</v>
      </c>
    </row>
    <row r="4">
      <c r="A4" s="3" t="s">
        <v>7</v>
      </c>
      <c r="B4" s="4">
        <v>40.0</v>
      </c>
      <c r="C4" s="5" t="s">
        <v>8</v>
      </c>
    </row>
    <row r="5">
      <c r="A5" s="3" t="s">
        <v>9</v>
      </c>
      <c r="B5" s="4">
        <v>10.0</v>
      </c>
      <c r="C5" s="5" t="s">
        <v>10</v>
      </c>
    </row>
    <row r="6">
      <c r="A6" s="1" t="s">
        <v>11</v>
      </c>
      <c r="B6" s="1">
        <f>SUM(B2:B5)</f>
        <v>375</v>
      </c>
      <c r="C6" s="1" t="s">
        <v>12</v>
      </c>
    </row>
    <row r="7">
      <c r="A7" s="6"/>
      <c r="B7" s="7"/>
      <c r="C7" s="8"/>
    </row>
    <row r="8">
      <c r="A8" s="9" t="s">
        <v>13</v>
      </c>
      <c r="B8" s="10">
        <v>200.0</v>
      </c>
      <c r="C8" s="11" t="s">
        <v>14</v>
      </c>
    </row>
    <row r="9">
      <c r="A9" s="3" t="s">
        <v>15</v>
      </c>
      <c r="B9" s="4">
        <v>25.0</v>
      </c>
      <c r="C9" s="5" t="s">
        <v>16</v>
      </c>
    </row>
    <row r="10">
      <c r="A10" s="3" t="s">
        <v>17</v>
      </c>
      <c r="B10" s="4">
        <v>20.0</v>
      </c>
      <c r="C10" s="5" t="s">
        <v>18</v>
      </c>
    </row>
    <row r="11">
      <c r="A11" s="1" t="s">
        <v>19</v>
      </c>
      <c r="B11" s="1">
        <f>SUM(B8:B10)+B6</f>
        <v>620</v>
      </c>
      <c r="C11" s="1" t="s">
        <v>20</v>
      </c>
    </row>
    <row r="12">
      <c r="A12" s="3" t="s">
        <v>21</v>
      </c>
      <c r="B12" s="12">
        <v>850.0</v>
      </c>
      <c r="C12" s="13"/>
    </row>
    <row r="13">
      <c r="A13" s="3" t="s">
        <v>22</v>
      </c>
      <c r="B13" s="7">
        <f>B12-B6</f>
        <v>475</v>
      </c>
      <c r="C13" s="8"/>
    </row>
    <row r="14">
      <c r="A14" s="3" t="s">
        <v>23</v>
      </c>
      <c r="B14" s="7">
        <f>B12-B11</f>
        <v>230</v>
      </c>
      <c r="C14" s="8"/>
    </row>
    <row r="15">
      <c r="A15" s="3" t="s">
        <v>24</v>
      </c>
      <c r="B15" s="4">
        <v>20000.0</v>
      </c>
      <c r="C15" s="5" t="s">
        <v>25</v>
      </c>
    </row>
    <row r="16">
      <c r="A16" s="14" t="s">
        <v>26</v>
      </c>
      <c r="B16" s="15">
        <f>B15/B14</f>
        <v>86.95652174</v>
      </c>
      <c r="C16" s="14" t="s">
        <v>27</v>
      </c>
    </row>
    <row r="17">
      <c r="A17" s="7"/>
      <c r="B17" s="7"/>
      <c r="C17" s="7"/>
    </row>
    <row r="18">
      <c r="A18" s="1" t="s">
        <v>28</v>
      </c>
      <c r="B18" s="16"/>
      <c r="C18" s="16"/>
    </row>
    <row r="19">
      <c r="A19" s="2" t="s">
        <v>29</v>
      </c>
      <c r="B19" s="16"/>
      <c r="C19" s="16"/>
    </row>
    <row r="20">
      <c r="A20" s="2" t="s">
        <v>30</v>
      </c>
      <c r="B20" s="16"/>
      <c r="C20" s="16"/>
    </row>
    <row r="21">
      <c r="A21" s="2" t="s">
        <v>31</v>
      </c>
      <c r="B21" s="17"/>
      <c r="C21" s="17"/>
      <c r="D21" s="18"/>
      <c r="E21" s="18"/>
      <c r="F21" s="18"/>
      <c r="G21" s="18"/>
      <c r="H21" s="18"/>
      <c r="I21" s="18"/>
      <c r="J21" s="18"/>
      <c r="K21" s="18"/>
      <c r="L21" s="18"/>
      <c r="M21" s="18"/>
      <c r="N21" s="18"/>
      <c r="O21" s="18"/>
      <c r="P21" s="18"/>
      <c r="Q21" s="18"/>
      <c r="R21" s="18"/>
      <c r="S21" s="18"/>
      <c r="T21" s="18"/>
      <c r="U21" s="18"/>
      <c r="V21" s="18"/>
      <c r="W21" s="18"/>
      <c r="X21" s="18"/>
      <c r="Y21" s="18"/>
      <c r="Z21" s="18"/>
    </row>
    <row r="22">
      <c r="A22" s="2" t="s">
        <v>32</v>
      </c>
      <c r="B22" s="17"/>
      <c r="C22" s="17"/>
      <c r="D22" s="18"/>
      <c r="E22" s="18"/>
      <c r="F22" s="18"/>
      <c r="G22" s="18"/>
      <c r="H22" s="18"/>
      <c r="I22" s="18"/>
      <c r="J22" s="18"/>
      <c r="K22" s="18"/>
      <c r="L22" s="18"/>
      <c r="M22" s="18"/>
      <c r="N22" s="18"/>
      <c r="O22" s="18"/>
      <c r="P22" s="18"/>
      <c r="Q22" s="18"/>
      <c r="R22" s="18"/>
      <c r="S22" s="18"/>
      <c r="T22" s="18"/>
      <c r="U22" s="18"/>
      <c r="V22" s="18"/>
      <c r="W22" s="18"/>
      <c r="X22" s="18"/>
      <c r="Y22" s="18"/>
      <c r="Z22" s="18"/>
    </row>
    <row r="23">
      <c r="A23" s="2" t="s">
        <v>33</v>
      </c>
      <c r="B23" s="19"/>
      <c r="C23" s="19"/>
      <c r="D23" s="18"/>
      <c r="E23" s="18"/>
      <c r="F23" s="18"/>
      <c r="G23" s="18"/>
      <c r="H23" s="18"/>
      <c r="I23" s="18"/>
      <c r="J23" s="18"/>
      <c r="K23" s="18"/>
      <c r="L23" s="18"/>
      <c r="M23" s="18"/>
      <c r="N23" s="18"/>
      <c r="O23" s="18"/>
      <c r="P23" s="18"/>
      <c r="Q23" s="18"/>
      <c r="R23" s="18"/>
      <c r="S23" s="18"/>
      <c r="T23" s="18"/>
      <c r="U23" s="18"/>
      <c r="V23" s="18"/>
      <c r="W23" s="18"/>
      <c r="X23" s="18"/>
      <c r="Y23" s="18"/>
      <c r="Z23" s="18"/>
    </row>
    <row r="24">
      <c r="A24" s="2" t="s">
        <v>34</v>
      </c>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20"/>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21"/>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21"/>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20" t="s">
        <v>35</v>
      </c>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20"/>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20"/>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21"/>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48.75" customHeight="1">
      <c r="A32" s="22" t="s">
        <v>36</v>
      </c>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20"/>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23"/>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24" t="s">
        <v>37</v>
      </c>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25" t="s">
        <v>0</v>
      </c>
      <c r="B3" s="25" t="s">
        <v>1</v>
      </c>
    </row>
    <row r="4" ht="22.5" customHeight="1">
      <c r="A4" s="26" t="s">
        <v>3</v>
      </c>
      <c r="B4" s="27">
        <v>250.0</v>
      </c>
    </row>
    <row r="5" ht="22.5" customHeight="1">
      <c r="A5" s="26" t="s">
        <v>5</v>
      </c>
      <c r="B5" s="27">
        <v>75.0</v>
      </c>
    </row>
    <row r="6" ht="22.5" customHeight="1">
      <c r="A6" s="26" t="s">
        <v>13</v>
      </c>
      <c r="B6" s="27">
        <v>200.0</v>
      </c>
    </row>
    <row r="7" ht="22.5" customHeight="1">
      <c r="A7" s="26" t="s">
        <v>7</v>
      </c>
      <c r="B7" s="27">
        <v>40.0</v>
      </c>
    </row>
    <row r="8" ht="22.5" customHeight="1">
      <c r="A8" s="26" t="s">
        <v>17</v>
      </c>
      <c r="B8" s="27">
        <v>20.0</v>
      </c>
    </row>
    <row r="9" ht="22.5" customHeight="1">
      <c r="A9" s="26" t="s">
        <v>15</v>
      </c>
      <c r="B9" s="27">
        <v>25.0</v>
      </c>
    </row>
    <row r="10" ht="22.5" customHeight="1">
      <c r="A10" s="26" t="s">
        <v>9</v>
      </c>
      <c r="B10" s="27">
        <v>10.0</v>
      </c>
    </row>
  </sheetData>
  <dataValidations>
    <dataValidation type="custom" allowBlank="1" showDropDown="1" sqref="B4:B10">
      <formula1>AND(ISNUMBER(B4),(NOT(OR(NOT(ISERROR(DATEVALUE(B4))), AND(ISNUMBER(B4), LEFT(CELL("format", B4))="D")))))</formula1>
    </dataValidation>
  </dataValidations>
  <drawing r:id="rId1"/>
  <tableParts count="1">
    <tablePart r:id="rId3"/>
  </tableParts>
</worksheet>
</file>